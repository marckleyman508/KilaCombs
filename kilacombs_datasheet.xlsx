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Discounts" sheetId="4" state="visible" r:id="rId4"/>
    <sheet xmlns:r="http://schemas.openxmlformats.org/officeDocument/2006/relationships" name="Buyers" sheetId="5" state="visible" r:id="rId5"/>
    <sheet xmlns:r="http://schemas.openxmlformats.org/officeDocument/2006/relationships" name="Signups" sheetId="6" state="visible" r:id="rId6"/>
    <sheet xmlns:r="http://schemas.openxmlformats.org/officeDocument/2006/relationships" name="Revenue" sheetId="7" state="visible" r:id="rId7"/>
    <sheet xmlns:r="http://schemas.openxmlformats.org/officeDocument/2006/relationships" name="Invento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"/>
    <numFmt numFmtId="165" formatCode="0.0%"/>
    <numFmt numFmtId="166" formatCode="\$0.00"/>
    <numFmt numFmtId="167" formatCode="\$#,##0"/>
    <numFmt numFmtId="168" formatCode="$0.00"/>
    <numFmt numFmtId="169" formatCode="$#,##0.0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A623"/>
      <sz val="18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5F0E8"/>
      <sz val="8"/>
    </font>
    <font>
      <name val="Arial"/>
      <charset val="1"/>
      <family val="0"/>
      <b val="1"/>
      <color rgb="FFF5F0E8"/>
      <sz val="20"/>
    </font>
    <font>
      <name val="Arial"/>
      <charset val="1"/>
      <family val="0"/>
      <b val="1"/>
      <color rgb="FF0A0A0A"/>
      <sz val="20"/>
    </font>
    <font>
      <name val="Arial"/>
      <charset val="1"/>
      <family val="0"/>
      <b val="1"/>
      <color rgb="FFF5A623"/>
      <sz val="11"/>
    </font>
    <font>
      <name val="Arial"/>
      <charset val="1"/>
      <family val="0"/>
      <b val="1"/>
      <color rgb="FF0A0A0A"/>
      <sz val="9"/>
    </font>
    <font>
      <name val="Arial"/>
      <charset val="1"/>
      <family val="0"/>
      <b val="1"/>
      <color rgb="FFFFD06B"/>
      <sz val="10"/>
    </font>
    <font>
      <name val="Arial"/>
      <charset val="1"/>
      <family val="0"/>
      <color rgb="FFF5F0E8"/>
      <sz val="10"/>
    </font>
    <font>
      <name val="Arial"/>
      <charset val="1"/>
      <family val="0"/>
      <color rgb="FFFFD06B"/>
      <sz val="10"/>
    </font>
    <font>
      <name val="Arial"/>
      <charset val="1"/>
      <family val="0"/>
      <b val="1"/>
      <color rgb="FF0A0A0A"/>
      <sz val="10"/>
    </font>
    <font>
      <name val="Arial"/>
      <charset val="1"/>
      <family val="0"/>
      <b val="1"/>
      <color rgb="FFF5F0E8"/>
      <sz val="10"/>
    </font>
    <font>
      <name val="Arial"/>
      <charset val="1"/>
      <family val="0"/>
      <color rgb="FF888888"/>
      <sz val="10"/>
    </font>
    <font>
      <name val="Arial"/>
      <charset val="1"/>
      <family val="0"/>
      <color rgb="FF27AE60"/>
      <sz val="10"/>
    </font>
    <font>
      <name val="Arial"/>
      <charset val="1"/>
      <family val="0"/>
      <b val="1"/>
      <color rgb="FF0A0A0A"/>
      <sz val="11"/>
    </font>
    <font>
      <name val="Arial"/>
      <charset val="1"/>
      <family val="0"/>
      <b val="1"/>
      <color rgb="FFF5A623"/>
      <sz val="10"/>
    </font>
    <font>
      <name val="Arial"/>
      <charset val="1"/>
      <family val="0"/>
      <b val="1"/>
      <color rgb="FFF5F0E8"/>
      <sz val="9"/>
    </font>
    <font>
      <name val="Arial"/>
      <charset val="1"/>
      <family val="0"/>
      <b val="1"/>
      <color rgb="FF27AE60"/>
      <sz val="11"/>
    </font>
    <font>
      <name val="Arial"/>
      <charset val="1"/>
      <family val="0"/>
      <b val="1"/>
      <color rgb="FF27AE60"/>
      <sz val="10"/>
    </font>
    <font>
      <name val="Arial"/>
      <charset val="1"/>
      <family val="0"/>
      <color rgb="FFE74C3C"/>
      <sz val="10"/>
    </font>
    <font>
      <name val="Arial"/>
      <charset val="1"/>
      <family val="0"/>
      <b val="1"/>
      <color rgb="FFE74C3C"/>
      <sz val="10"/>
    </font>
    <font>
      <name val="Arial"/>
      <b val="1"/>
      <color rgb="00FFD06B"/>
      <sz val="10"/>
    </font>
    <font>
      <name val="Arial"/>
      <color rgb="00888888"/>
      <sz val="10"/>
    </font>
    <font>
      <name val="Arial"/>
      <b val="1"/>
      <color rgb="00F5F0E8"/>
      <sz val="10"/>
    </font>
    <font>
      <name val="Arial"/>
      <color rgb="00F5F0E8"/>
      <sz val="10"/>
    </font>
    <font>
      <name val="Arial"/>
      <color rgb="00FFD06B"/>
      <sz val="10"/>
    </font>
    <font>
      <name val="Arial"/>
      <b val="1"/>
      <color rgb="000A0A0A"/>
      <sz val="9"/>
    </font>
    <font>
      <name val="Arial"/>
      <color rgb="0027AE60"/>
      <sz val="10"/>
    </font>
  </fonts>
  <fills count="18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C8840A"/>
        <bgColor rgb="FFE67E22"/>
      </patternFill>
    </fill>
    <fill>
      <patternFill patternType="solid">
        <fgColor rgb="FFE67E22"/>
        <bgColor rgb="FFC8840A"/>
      </patternFill>
    </fill>
    <fill>
      <patternFill patternType="solid">
        <fgColor rgb="FF27AE60"/>
        <bgColor rgb="FF16A085"/>
      </patternFill>
    </fill>
    <fill>
      <patternFill patternType="solid">
        <fgColor rgb="FFF5A623"/>
        <bgColor rgb="FFE67E22"/>
      </patternFill>
    </fill>
    <fill>
      <patternFill patternType="solid">
        <fgColor rgb="FF2980B9"/>
        <bgColor rgb="FF0066CC"/>
      </patternFill>
    </fill>
    <fill>
      <patternFill patternType="solid">
        <fgColor rgb="FFE74C3C"/>
        <bgColor rgb="FFE67E22"/>
      </patternFill>
    </fill>
    <fill>
      <patternFill patternType="solid">
        <fgColor rgb="FF16A085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242424"/>
        <bgColor rgb="FF2A2A2A"/>
      </patternFill>
    </fill>
    <fill>
      <patternFill patternType="solid">
        <fgColor rgb="FF1A1A1A"/>
        <bgColor rgb="FF161600"/>
      </patternFill>
    </fill>
    <fill>
      <patternFill patternType="solid">
        <fgColor rgb="FF161600"/>
        <bgColor rgb="FF1A1A1A"/>
      </patternFill>
    </fill>
    <fill>
      <patternFill patternType="solid">
        <fgColor rgb="00242424"/>
      </patternFill>
    </fill>
    <fill>
      <patternFill patternType="solid">
        <fgColor rgb="00E67E22"/>
      </patternFill>
    </fill>
    <fill>
      <patternFill patternType="solid">
        <fgColor rgb="001A1A1A"/>
      </patternFill>
    </fill>
    <fill>
      <patternFill patternType="solid">
        <fgColor rgb="0027AE60"/>
      </patternFill>
    </fill>
  </fills>
  <borders count="6">
    <border>
      <left/>
      <right/>
      <top/>
      <bottom/>
      <diagonal/>
    </border>
    <border>
      <left style="thin">
        <color rgb="FF2A2A2A"/>
      </left>
      <right/>
      <top style="thin">
        <color rgb="FF2A2A2A"/>
      </top>
      <bottom style="thin">
        <color rgb="FF2A2A2A"/>
      </bottom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/>
      <right/>
      <top style="thin">
        <color rgb="FF2A2A2A"/>
      </top>
      <bottom/>
      <diagonal/>
    </border>
    <border>
      <left/>
      <right/>
      <top style="thin">
        <color rgb="FF2A2A2A"/>
      </top>
      <bottom style="thin">
        <color rgb="FF2A2A2A"/>
      </bottom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" fontId="7" fillId="4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3" fontId="7" fillId="7" borderId="0" applyAlignment="1" pivotButton="0" quotePrefix="0" xfId="0">
      <alignment horizontal="center" vertical="center"/>
    </xf>
    <xf numFmtId="1" fontId="7" fillId="8" borderId="0" applyAlignment="1" pivotButton="0" quotePrefix="0" xfId="0">
      <alignment horizontal="center" vertical="center"/>
    </xf>
    <xf numFmtId="1" fontId="7" fillId="9" borderId="0" applyAlignment="1" pivotButton="0" quotePrefix="0" xfId="0">
      <alignment horizontal="center" vertical="center"/>
    </xf>
    <xf numFmtId="164" fontId="7" fillId="1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/>
    </xf>
    <xf numFmtId="3" fontId="12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164" fontId="12" fillId="11" borderId="2" applyAlignment="1" pivotButton="0" quotePrefix="0" xfId="0">
      <alignment horizontal="right" vertical="center"/>
    </xf>
    <xf numFmtId="0" fontId="11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center" vertical="center"/>
    </xf>
    <xf numFmtId="3" fontId="12" fillId="12" borderId="2" applyAlignment="1" pivotButton="0" quotePrefix="0" xfId="0">
      <alignment horizontal="right" vertical="center"/>
    </xf>
    <xf numFmtId="164" fontId="13" fillId="12" borderId="2" applyAlignment="1" pivotButton="0" quotePrefix="0" xfId="0">
      <alignment horizontal="right" vertical="center"/>
    </xf>
    <xf numFmtId="164" fontId="12" fillId="12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165" fontId="12" fillId="12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165" fontId="12" fillId="11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left" vertical="center"/>
    </xf>
    <xf numFmtId="9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/>
    </xf>
    <xf numFmtId="9" fontId="17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166" fontId="12" fillId="12" borderId="2" applyAlignment="1" pivotButton="0" quotePrefix="0" xfId="0">
      <alignment horizontal="right" vertical="center"/>
    </xf>
    <xf numFmtId="0" fontId="17" fillId="12" borderId="2" applyAlignment="1" pivotButton="0" quotePrefix="0" xfId="0">
      <alignment horizontal="left" vertical="center"/>
    </xf>
    <xf numFmtId="164" fontId="17" fillId="12" borderId="2" applyAlignment="1" pivotButton="0" quotePrefix="0" xfId="0">
      <alignment horizontal="right" vertical="center"/>
    </xf>
    <xf numFmtId="164" fontId="11" fillId="12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166" fontId="12" fillId="11" borderId="2" applyAlignment="1" pivotButton="0" quotePrefix="0" xfId="0">
      <alignment horizontal="right" vertical="center"/>
    </xf>
    <xf numFmtId="0" fontId="17" fillId="11" borderId="2" applyAlignment="1" pivotButton="0" quotePrefix="0" xfId="0">
      <alignment horizontal="left" vertical="center"/>
    </xf>
    <xf numFmtId="164" fontId="17" fillId="11" borderId="2" applyAlignment="1" pivotButton="0" quotePrefix="0" xfId="0">
      <alignment horizontal="right" vertical="center"/>
    </xf>
    <xf numFmtId="164" fontId="11" fillId="11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9" fontId="16" fillId="12" borderId="2" applyAlignment="1" pivotButton="0" quotePrefix="0" xfId="0">
      <alignment horizontal="center" vertical="center"/>
    </xf>
    <xf numFmtId="164" fontId="16" fillId="12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/>
    </xf>
    <xf numFmtId="9" fontId="16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right" vertical="center"/>
    </xf>
    <xf numFmtId="0" fontId="10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general" vertical="bottom"/>
    </xf>
    <xf numFmtId="3" fontId="18" fillId="3" borderId="2" applyAlignment="1" pivotButton="0" quotePrefix="0" xfId="0">
      <alignment horizontal="right" vertical="center"/>
    </xf>
    <xf numFmtId="164" fontId="18" fillId="3" borderId="2" applyAlignment="1" pivotButton="0" quotePrefix="0" xfId="0">
      <alignment horizontal="right" vertical="center"/>
    </xf>
    <xf numFmtId="0" fontId="19" fillId="12" borderId="2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166" fontId="12" fillId="11" borderId="1" applyAlignment="1" pivotButton="0" quotePrefix="0" xfId="0">
      <alignment horizontal="left" vertical="center"/>
    </xf>
    <xf numFmtId="3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left" vertical="center"/>
    </xf>
    <xf numFmtId="166" fontId="13" fillId="11" borderId="2" applyAlignment="1" pivotButton="0" quotePrefix="0" xfId="0">
      <alignment horizontal="right" vertical="center"/>
    </xf>
    <xf numFmtId="166" fontId="13" fillId="12" borderId="2" applyAlignment="1" pivotButton="0" quotePrefix="0" xfId="0">
      <alignment horizontal="right" vertical="center"/>
    </xf>
    <xf numFmtId="0" fontId="20" fillId="7" borderId="2" applyAlignment="1" pivotButton="0" quotePrefix="0" xfId="0">
      <alignment horizontal="center" vertical="center"/>
    </xf>
    <xf numFmtId="9" fontId="21" fillId="12" borderId="2" applyAlignment="1" pivotButton="0" quotePrefix="0" xfId="0">
      <alignment horizontal="center" vertical="center"/>
    </xf>
    <xf numFmtId="167" fontId="16" fillId="12" borderId="2" applyAlignment="1" pivotButton="0" quotePrefix="0" xfId="0">
      <alignment horizontal="right" vertical="center"/>
    </xf>
    <xf numFmtId="9" fontId="21" fillId="11" borderId="2" applyAlignment="1" pivotButton="0" quotePrefix="0" xfId="0">
      <alignment horizontal="center" vertical="center"/>
    </xf>
    <xf numFmtId="167" fontId="16" fillId="11" borderId="2" applyAlignment="1" pivotButton="0" quotePrefix="0" xfId="0">
      <alignment horizontal="right" vertical="center"/>
    </xf>
    <xf numFmtId="0" fontId="20" fillId="8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general" vertical="bottom"/>
    </xf>
    <xf numFmtId="3" fontId="12" fillId="13" borderId="2" applyAlignment="1" pivotButton="0" quotePrefix="0" xfId="0">
      <alignment horizontal="left" vertical="center"/>
    </xf>
    <xf numFmtId="166" fontId="12" fillId="13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left" vertical="center"/>
    </xf>
    <xf numFmtId="9" fontId="13" fillId="11" borderId="2" applyAlignment="1" pivotButton="0" quotePrefix="0" xfId="0">
      <alignment horizontal="left" vertical="center"/>
    </xf>
    <xf numFmtId="164" fontId="22" fillId="12" borderId="2" applyAlignment="1" pivotButton="0" quotePrefix="0" xfId="0">
      <alignment horizontal="right" vertical="center"/>
    </xf>
    <xf numFmtId="164" fontId="22" fillId="11" borderId="2" applyAlignment="1" pivotButton="0" quotePrefix="0" xfId="0">
      <alignment horizontal="right" vertical="center"/>
    </xf>
    <xf numFmtId="164" fontId="15" fillId="12" borderId="2" applyAlignment="1" pivotButton="0" quotePrefix="0" xfId="0">
      <alignment horizontal="right" vertical="center"/>
    </xf>
    <xf numFmtId="164" fontId="19" fillId="11" borderId="2" applyAlignment="1" pivotButton="0" quotePrefix="0" xfId="0">
      <alignment horizontal="right" vertical="center"/>
    </xf>
    <xf numFmtId="164" fontId="19" fillId="12" borderId="2" applyAlignment="1" pivotButton="0" quotePrefix="0" xfId="0">
      <alignment horizontal="right" vertical="center"/>
    </xf>
    <xf numFmtId="164" fontId="15" fillId="11" borderId="2" applyAlignment="1" pivotButton="0" quotePrefix="0" xfId="0">
      <alignment horizontal="right" vertical="center"/>
    </xf>
    <xf numFmtId="164" fontId="23" fillId="12" borderId="2" applyAlignment="1" pivotButton="0" quotePrefix="0" xfId="0">
      <alignment horizontal="right" vertical="center"/>
    </xf>
    <xf numFmtId="164" fontId="23" fillId="11" borderId="2" applyAlignment="1" pivotButton="0" quotePrefix="0" xfId="0">
      <alignment horizontal="right" vertical="center"/>
    </xf>
    <xf numFmtId="165" fontId="22" fillId="11" borderId="2" applyAlignment="1" pivotButton="0" quotePrefix="0" xfId="0">
      <alignment horizontal="center" vertical="center"/>
    </xf>
    <xf numFmtId="165" fontId="22" fillId="12" borderId="2" applyAlignment="1" pivotButton="0" quotePrefix="0" xfId="0">
      <alignment horizontal="center" vertical="center"/>
    </xf>
    <xf numFmtId="165" fontId="24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right" vertical="center"/>
    </xf>
    <xf numFmtId="3" fontId="16" fillId="12" borderId="2" applyAlignment="1" pivotButton="0" quotePrefix="0" xfId="0">
      <alignment horizontal="right" vertical="center"/>
    </xf>
    <xf numFmtId="3" fontId="11" fillId="12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" fontId="7" fillId="4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center" vertical="center"/>
    </xf>
    <xf numFmtId="164" fontId="8" fillId="6" borderId="0" applyAlignment="1" pivotButton="0" quotePrefix="0" xfId="0">
      <alignment horizontal="center" vertical="center"/>
    </xf>
    <xf numFmtId="3" fontId="7" fillId="7" borderId="0" applyAlignment="1" pivotButton="0" quotePrefix="0" xfId="0">
      <alignment horizontal="center" vertical="center"/>
    </xf>
    <xf numFmtId="1" fontId="7" fillId="8" borderId="0" applyAlignment="1" pivotButton="0" quotePrefix="0" xfId="0">
      <alignment horizontal="center" vertical="center"/>
    </xf>
    <xf numFmtId="1" fontId="7" fillId="9" borderId="0" applyAlignment="1" pivotButton="0" quotePrefix="0" xfId="0">
      <alignment horizontal="center" vertical="center"/>
    </xf>
    <xf numFmtId="164" fontId="7" fillId="1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/>
    </xf>
    <xf numFmtId="3" fontId="12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164" fontId="12" fillId="11" borderId="2" applyAlignment="1" pivotButton="0" quotePrefix="0" xfId="0">
      <alignment horizontal="right" vertical="center"/>
    </xf>
    <xf numFmtId="0" fontId="11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center" vertical="center"/>
    </xf>
    <xf numFmtId="3" fontId="12" fillId="12" borderId="2" applyAlignment="1" pivotButton="0" quotePrefix="0" xfId="0">
      <alignment horizontal="right" vertical="center"/>
    </xf>
    <xf numFmtId="164" fontId="13" fillId="12" borderId="2" applyAlignment="1" pivotButton="0" quotePrefix="0" xfId="0">
      <alignment horizontal="right" vertical="center"/>
    </xf>
    <xf numFmtId="164" fontId="12" fillId="12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165" fontId="12" fillId="12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165" fontId="12" fillId="11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left" vertical="center"/>
    </xf>
    <xf numFmtId="9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/>
    </xf>
    <xf numFmtId="9" fontId="17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166" fontId="12" fillId="12" borderId="2" applyAlignment="1" pivotButton="0" quotePrefix="0" xfId="0">
      <alignment horizontal="right" vertical="center"/>
    </xf>
    <xf numFmtId="0" fontId="17" fillId="12" borderId="2" applyAlignment="1" pivotButton="0" quotePrefix="0" xfId="0">
      <alignment horizontal="left" vertical="center"/>
    </xf>
    <xf numFmtId="164" fontId="17" fillId="12" borderId="2" applyAlignment="1" pivotButton="0" quotePrefix="0" xfId="0">
      <alignment horizontal="right" vertical="center"/>
    </xf>
    <xf numFmtId="164" fontId="11" fillId="12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166" fontId="12" fillId="11" borderId="2" applyAlignment="1" pivotButton="0" quotePrefix="0" xfId="0">
      <alignment horizontal="right" vertical="center"/>
    </xf>
    <xf numFmtId="0" fontId="17" fillId="11" borderId="2" applyAlignment="1" pivotButton="0" quotePrefix="0" xfId="0">
      <alignment horizontal="left" vertical="center"/>
    </xf>
    <xf numFmtId="164" fontId="17" fillId="11" borderId="2" applyAlignment="1" pivotButton="0" quotePrefix="0" xfId="0">
      <alignment horizontal="right" vertical="center"/>
    </xf>
    <xf numFmtId="164" fontId="11" fillId="11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9" fontId="16" fillId="12" borderId="2" applyAlignment="1" pivotButton="0" quotePrefix="0" xfId="0">
      <alignment horizontal="center" vertical="center"/>
    </xf>
    <xf numFmtId="164" fontId="16" fillId="12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/>
    </xf>
    <xf numFmtId="9" fontId="16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right" vertical="center"/>
    </xf>
    <xf numFmtId="0" fontId="10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general" vertical="bottom"/>
    </xf>
    <xf numFmtId="3" fontId="18" fillId="3" borderId="2" applyAlignment="1" pivotButton="0" quotePrefix="0" xfId="0">
      <alignment horizontal="right" vertical="center"/>
    </xf>
    <xf numFmtId="164" fontId="18" fillId="3" borderId="2" applyAlignment="1" pivotButton="0" quotePrefix="0" xfId="0">
      <alignment horizontal="right" vertical="center"/>
    </xf>
    <xf numFmtId="0" fontId="25" fillId="14" borderId="5" applyAlignment="1" pivotButton="0" quotePrefix="0" xfId="0">
      <alignment horizontal="left" vertical="center"/>
    </xf>
    <xf numFmtId="0" fontId="26" fillId="14" borderId="5" applyAlignment="1" pivotButton="0" quotePrefix="0" xfId="0">
      <alignment horizontal="left" vertical="center"/>
    </xf>
    <xf numFmtId="0" fontId="27" fillId="14" borderId="5" applyAlignment="1" pivotButton="0" quotePrefix="0" xfId="0">
      <alignment horizontal="left" vertical="center"/>
    </xf>
    <xf numFmtId="0" fontId="28" fillId="14" borderId="5" applyAlignment="1" pivotButton="0" quotePrefix="0" xfId="0">
      <alignment horizontal="left" vertical="center"/>
    </xf>
    <xf numFmtId="0" fontId="26" fillId="14" borderId="5" applyAlignment="1" pivotButton="0" quotePrefix="0" xfId="0">
      <alignment horizontal="center" vertical="center"/>
    </xf>
    <xf numFmtId="0" fontId="29" fillId="14" borderId="5" applyAlignment="1" pivotButton="0" quotePrefix="0" xfId="0">
      <alignment horizontal="left" vertical="center"/>
    </xf>
    <xf numFmtId="3" fontId="28" fillId="14" borderId="5" applyAlignment="1" pivotButton="0" quotePrefix="0" xfId="0">
      <alignment horizontal="right" vertical="center"/>
    </xf>
    <xf numFmtId="168" fontId="28" fillId="14" borderId="5" applyAlignment="1" pivotButton="0" quotePrefix="0" xfId="0">
      <alignment horizontal="right" vertical="center"/>
    </xf>
    <xf numFmtId="169" fontId="28" fillId="14" borderId="5" applyAlignment="1" pivotButton="0" quotePrefix="0" xfId="0">
      <alignment horizontal="right" vertical="center"/>
    </xf>
    <xf numFmtId="9" fontId="26" fillId="14" borderId="5" applyAlignment="1" pivotButton="0" quotePrefix="0" xfId="0">
      <alignment horizontal="center" vertical="center"/>
    </xf>
    <xf numFmtId="169" fontId="26" fillId="14" borderId="5" applyAlignment="1" pivotButton="0" quotePrefix="0" xfId="0">
      <alignment horizontal="right" vertical="center"/>
    </xf>
    <xf numFmtId="169" fontId="25" fillId="14" borderId="5" applyAlignment="1" pivotButton="0" quotePrefix="0" xfId="0">
      <alignment horizontal="right" vertical="center"/>
    </xf>
    <xf numFmtId="0" fontId="30" fillId="15" borderId="5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166" fontId="12" fillId="11" borderId="1" applyAlignment="1" pivotButton="0" quotePrefix="0" xfId="0">
      <alignment horizontal="left" vertical="center"/>
    </xf>
    <xf numFmtId="3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left" vertical="center"/>
    </xf>
    <xf numFmtId="166" fontId="13" fillId="11" borderId="2" applyAlignment="1" pivotButton="0" quotePrefix="0" xfId="0">
      <alignment horizontal="right" vertical="center"/>
    </xf>
    <xf numFmtId="166" fontId="13" fillId="12" borderId="2" applyAlignment="1" pivotButton="0" quotePrefix="0" xfId="0">
      <alignment horizontal="right" vertical="center"/>
    </xf>
    <xf numFmtId="0" fontId="20" fillId="7" borderId="2" applyAlignment="1" pivotButton="0" quotePrefix="0" xfId="0">
      <alignment horizontal="center" vertical="center"/>
    </xf>
    <xf numFmtId="9" fontId="21" fillId="12" borderId="2" applyAlignment="1" pivotButton="0" quotePrefix="0" xfId="0">
      <alignment horizontal="center" vertical="center"/>
    </xf>
    <xf numFmtId="167" fontId="16" fillId="12" borderId="2" applyAlignment="1" pivotButton="0" quotePrefix="0" xfId="0">
      <alignment horizontal="right" vertical="center"/>
    </xf>
    <xf numFmtId="9" fontId="21" fillId="11" borderId="2" applyAlignment="1" pivotButton="0" quotePrefix="0" xfId="0">
      <alignment horizontal="center" vertical="center"/>
    </xf>
    <xf numFmtId="167" fontId="16" fillId="11" borderId="2" applyAlignment="1" pivotButton="0" quotePrefix="0" xfId="0">
      <alignment horizontal="right" vertical="center"/>
    </xf>
    <xf numFmtId="0" fontId="20" fillId="8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general" vertical="bottom"/>
    </xf>
    <xf numFmtId="3" fontId="12" fillId="13" borderId="2" applyAlignment="1" pivotButton="0" quotePrefix="0" xfId="0">
      <alignment horizontal="left" vertical="center"/>
    </xf>
    <xf numFmtId="166" fontId="12" fillId="13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left" vertical="center"/>
    </xf>
    <xf numFmtId="9" fontId="13" fillId="11" borderId="2" applyAlignment="1" pivotButton="0" quotePrefix="0" xfId="0">
      <alignment horizontal="left" vertical="center"/>
    </xf>
    <xf numFmtId="164" fontId="22" fillId="12" borderId="2" applyAlignment="1" pivotButton="0" quotePrefix="0" xfId="0">
      <alignment horizontal="right" vertical="center"/>
    </xf>
    <xf numFmtId="164" fontId="22" fillId="11" borderId="2" applyAlignment="1" pivotButton="0" quotePrefix="0" xfId="0">
      <alignment horizontal="right" vertical="center"/>
    </xf>
    <xf numFmtId="164" fontId="15" fillId="12" borderId="2" applyAlignment="1" pivotButton="0" quotePrefix="0" xfId="0">
      <alignment horizontal="right" vertical="center"/>
    </xf>
    <xf numFmtId="164" fontId="19" fillId="11" borderId="2" applyAlignment="1" pivotButton="0" quotePrefix="0" xfId="0">
      <alignment horizontal="right" vertical="center"/>
    </xf>
    <xf numFmtId="164" fontId="19" fillId="12" borderId="2" applyAlignment="1" pivotButton="0" quotePrefix="0" xfId="0">
      <alignment horizontal="right" vertical="center"/>
    </xf>
    <xf numFmtId="164" fontId="15" fillId="11" borderId="2" applyAlignment="1" pivotButton="0" quotePrefix="0" xfId="0">
      <alignment horizontal="right" vertical="center"/>
    </xf>
    <xf numFmtId="164" fontId="23" fillId="12" borderId="2" applyAlignment="1" pivotButton="0" quotePrefix="0" xfId="0">
      <alignment horizontal="right" vertical="center"/>
    </xf>
    <xf numFmtId="164" fontId="23" fillId="11" borderId="2" applyAlignment="1" pivotButton="0" quotePrefix="0" xfId="0">
      <alignment horizontal="right" vertical="center"/>
    </xf>
    <xf numFmtId="165" fontId="22" fillId="11" borderId="2" applyAlignment="1" pivotButton="0" quotePrefix="0" xfId="0">
      <alignment horizontal="center" vertical="center"/>
    </xf>
    <xf numFmtId="165" fontId="22" fillId="12" borderId="2" applyAlignment="1" pivotButton="0" quotePrefix="0" xfId="0">
      <alignment horizontal="center" vertical="center"/>
    </xf>
    <xf numFmtId="165" fontId="24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right" vertical="center"/>
    </xf>
    <xf numFmtId="3" fontId="16" fillId="12" borderId="2" applyAlignment="1" pivotButton="0" quotePrefix="0" xfId="0">
      <alignment horizontal="right" vertical="center"/>
    </xf>
    <xf numFmtId="3" fontId="11" fillId="12" borderId="2" applyAlignment="1" pivotButton="0" quotePrefix="0" xfId="0">
      <alignment horizontal="right" vertical="center"/>
    </xf>
    <xf numFmtId="0" fontId="26" fillId="16" borderId="5" applyAlignment="1" pivotButton="0" quotePrefix="0" xfId="0">
      <alignment horizontal="center" vertical="center"/>
    </xf>
    <xf numFmtId="0" fontId="28" fillId="16" borderId="5" applyAlignment="1" pivotButton="0" quotePrefix="0" xfId="0">
      <alignment horizontal="left" vertical="center"/>
    </xf>
    <xf numFmtId="0" fontId="26" fillId="16" borderId="5" applyAlignment="1" pivotButton="0" quotePrefix="0" xfId="0">
      <alignment horizontal="left" vertical="center"/>
    </xf>
    <xf numFmtId="0" fontId="30" fillId="17" borderId="5" applyAlignment="1" pivotButton="0" quotePrefix="0" xfId="0">
      <alignment horizontal="center" vertical="center"/>
    </xf>
    <xf numFmtId="0" fontId="25" fillId="16" borderId="5" applyAlignment="1" pivotButton="0" quotePrefix="0" xfId="0">
      <alignment horizontal="left" vertical="center"/>
    </xf>
    <xf numFmtId="0" fontId="27" fillId="16" borderId="5" applyAlignment="1" pivotButton="0" quotePrefix="0" xfId="0">
      <alignment horizontal="left" vertical="center"/>
    </xf>
    <xf numFmtId="0" fontId="29" fillId="16" borderId="5" applyAlignment="1" pivotButton="0" quotePrefix="0" xfId="0">
      <alignment horizontal="left" vertical="center"/>
    </xf>
    <xf numFmtId="3" fontId="28" fillId="16" borderId="5" applyAlignment="1" pivotButton="0" quotePrefix="0" xfId="0">
      <alignment horizontal="right" vertical="center"/>
    </xf>
    <xf numFmtId="168" fontId="28" fillId="16" borderId="5" applyAlignment="1" pivotButton="0" quotePrefix="0" xfId="0">
      <alignment horizontal="right" vertical="center"/>
    </xf>
    <xf numFmtId="169" fontId="28" fillId="16" borderId="5" applyAlignment="1" pivotButton="0" quotePrefix="0" xfId="0">
      <alignment horizontal="right" vertical="center"/>
    </xf>
    <xf numFmtId="0" fontId="31" fillId="16" borderId="5" applyAlignment="1" pivotButton="0" quotePrefix="0" xfId="0">
      <alignment horizontal="left" vertical="center"/>
    </xf>
    <xf numFmtId="9" fontId="31" fillId="16" borderId="5" applyAlignment="1" pivotButton="0" quotePrefix="0" xfId="0">
      <alignment horizontal="center" vertical="center"/>
    </xf>
    <xf numFmtId="169" fontId="31" fillId="16" borderId="5" applyAlignment="1" pivotButton="0" quotePrefix="0" xfId="0">
      <alignment horizontal="right" vertical="center"/>
    </xf>
    <xf numFmtId="169" fontId="25" fillId="16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5F0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A"/>
      <rgbColor rgb="FFC8840A"/>
      <rgbColor rgb="FF800080"/>
      <rgbColor rgb="FF16A085"/>
      <rgbColor rgb="FFC0C0C0"/>
      <rgbColor rgb="FF888888"/>
      <rgbColor rgb="FF9999FF"/>
      <rgbColor rgb="FF8E44AD"/>
      <rgbColor rgb="FFFFFF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06B"/>
      <rgbColor rgb="FF3366FF"/>
      <rgbColor rgb="FF33CCCC"/>
      <rgbColor rgb="FF99CC00"/>
      <rgbColor rgb="FFFFCC00"/>
      <rgbColor rgb="FFF5A623"/>
      <rgbColor rgb="FFE67E22"/>
      <rgbColor rgb="FF666699"/>
      <rgbColor rgb="FF969696"/>
      <rgbColor rgb="FF1A1A1A"/>
      <rgbColor rgb="FF27AE60"/>
      <rgbColor rgb="FF161600"/>
      <rgbColor rgb="FF242424"/>
      <rgbColor rgb="FF993300"/>
      <rgbColor rgb="FF993366"/>
      <rgbColor rgb="FF333399"/>
      <rgbColor rgb="FF2A2A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8840A"/>
    <outlinePr summaryBelow="1" summaryRight="1"/>
    <pageSetUpPr fitToPage="0"/>
  </sheetPr>
  <dimension ref="A1:P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13" min="1" max="1"/>
    <col width="10" customWidth="1" style="113" min="2" max="2"/>
    <col width="14" customWidth="1" style="113" min="3" max="3"/>
    <col width="16" customWidth="1" style="113" min="4" max="4"/>
    <col width="14" customWidth="1" style="113" min="5" max="5"/>
    <col width="2" customWidth="1" style="113" min="6" max="6"/>
    <col width="14" customWidth="1" style="113" min="7" max="7"/>
    <col width="12" customWidth="1" style="113" min="8" max="8"/>
    <col width="8" customWidth="1" style="113" min="9" max="9"/>
    <col width="12" customWidth="1" style="113" min="10" max="10"/>
    <col width="2" customWidth="1" style="113" min="11" max="11"/>
    <col width="14" customWidth="1" style="113" min="12" max="12"/>
    <col width="2" customWidth="1" style="113" min="13" max="16"/>
  </cols>
  <sheetData>
    <row r="1" ht="42" customHeight="1" s="114">
      <c r="A1" s="115" t="inlineStr">
        <is>
          <t>KC  KILACOMBS - WHOLESALE DATA DASHBOARD</t>
        </is>
      </c>
    </row>
    <row r="2" ht="18" customHeight="1" s="114">
      <c r="A2" s="116" t="inlineStr">
        <is>
          <t>B2B Wholesale Operations  |  $3.00/pack  |  500-pack minimum  |  Generated March 06, 2026</t>
        </is>
      </c>
    </row>
    <row r="3" ht="9.75" customHeight="1" s="114"/>
    <row r="4" ht="15.75" customHeight="1" s="114">
      <c r="A4" s="117" t="inlineStr">
        <is>
          <t>TOTAL ORDERS</t>
        </is>
      </c>
      <c r="B4" s="118" t="n"/>
      <c r="C4" s="119" t="inlineStr">
        <is>
          <t>PENDING REVIEW</t>
        </is>
      </c>
      <c r="D4" s="118" t="n"/>
      <c r="E4" s="120" t="inlineStr">
        <is>
          <t>PAID / SHIPPED</t>
        </is>
      </c>
      <c r="F4" s="118" t="n"/>
      <c r="G4" s="121" t="inlineStr">
        <is>
          <t>NET REVENUE</t>
        </is>
      </c>
      <c r="H4" s="118" t="n"/>
      <c r="I4" s="122" t="inlineStr">
        <is>
          <t>PACKS SOLD</t>
        </is>
      </c>
      <c r="J4" s="118" t="n"/>
      <c r="K4" s="123" t="inlineStr">
        <is>
          <t>CANCELLED</t>
        </is>
      </c>
      <c r="L4" s="118" t="n"/>
      <c r="M4" s="124" t="inlineStr">
        <is>
          <t>EMAIL SIGNUPS</t>
        </is>
      </c>
      <c r="N4" s="118" t="n"/>
      <c r="O4" s="125" t="inlineStr">
        <is>
          <t>AVG ORDER VALUE</t>
        </is>
      </c>
      <c r="P4" s="118" t="n"/>
    </row>
    <row r="5" ht="39.75" customHeight="1" s="114">
      <c r="A5" s="126">
        <f>COUNTA(Orders!A3:A2000)</f>
        <v/>
      </c>
      <c r="C5" s="127">
        <f>COUNTIF(Orders!S3:S2000,"pending_review")</f>
        <v/>
      </c>
      <c r="E5" s="128">
        <f>COUNTIF(Orders!S3:S2000,"paid")+COUNTIF(Orders!S3:S2000,"shipped")+COUNTIF(Orders!S3:S2000,"delivered")</f>
        <v/>
      </c>
      <c r="G5" s="129">
        <f>SUMIF(Orders!S3:S2000,"paid",Orders!R3:R2000)+SUMIF(Orders!S3:S2000,"shipped",Orders!R3:R2000)+SUMIF(Orders!S3:S2000,"delivered",Orders!R3:R2000)</f>
        <v/>
      </c>
      <c r="I5" s="130">
        <f>SUMIF(Orders!S3:S2000,"paid",Orders!L3:L2000)+SUMIF(Orders!S3:S2000,"shipped",Orders!L3:L2000)+SUMIF(Orders!S3:S2000,"delivered",Orders!L3:L2000)</f>
        <v/>
      </c>
      <c r="K5" s="131">
        <f>COUNTIF(Orders!S3:S2000,"cancelled")</f>
        <v/>
      </c>
      <c r="M5" s="132">
        <f>COUNTA(Signups!B3:B2000)</f>
        <v/>
      </c>
      <c r="O5" s="133">
        <f>IF(A5&gt;0,D5/A5,0)</f>
        <v/>
      </c>
    </row>
    <row r="6" ht="9.75" customHeight="1" s="114"/>
    <row r="7" ht="25.5" customHeight="1" s="114">
      <c r="A7" s="134" t="inlineStr">
        <is>
          <t>REVENUE BY VARIANT</t>
        </is>
      </c>
    </row>
    <row r="8" ht="19.5" customHeight="1" s="114">
      <c r="A8" s="135" t="inlineStr">
        <is>
          <t>Variant</t>
        </is>
      </c>
      <c r="B8" s="135" t="inlineStr">
        <is>
          <t>Orders</t>
        </is>
      </c>
      <c r="C8" s="135" t="inlineStr">
        <is>
          <t>Packs Sold</t>
        </is>
      </c>
      <c r="D8" s="135" t="inlineStr">
        <is>
          <t>Revenue</t>
        </is>
      </c>
      <c r="E8" s="135" t="inlineStr">
        <is>
          <t>Avg / Order</t>
        </is>
      </c>
    </row>
    <row r="9" ht="18" customHeight="1" s="114">
      <c r="A9" s="136" t="inlineStr">
        <is>
          <t>🍯 Original Honey Blend</t>
        </is>
      </c>
      <c r="B9" s="137" t="n">
        <v>15</v>
      </c>
      <c r="C9" s="138" t="n">
        <v>23000</v>
      </c>
      <c r="D9" s="139" t="n">
        <v>63000</v>
      </c>
      <c r="E9" s="140" t="n">
        <v>4200</v>
      </c>
    </row>
    <row r="10" ht="18" customHeight="1" s="114">
      <c r="A10" s="141" t="inlineStr">
        <is>
          <t>🫚 Ginger Boost</t>
        </is>
      </c>
      <c r="B10" s="142" t="n">
        <v>11</v>
      </c>
      <c r="C10" s="143" t="n">
        <v>9000</v>
      </c>
      <c r="D10" s="144" t="n">
        <v>23175</v>
      </c>
      <c r="E10" s="145" t="n">
        <v>2106.81818181818</v>
      </c>
    </row>
    <row r="11" ht="18" customHeight="1" s="114">
      <c r="A11" s="136" t="inlineStr">
        <is>
          <t>⚡ B-Vitamin Surge</t>
        </is>
      </c>
      <c r="B11" s="137" t="n">
        <v>14</v>
      </c>
      <c r="C11" s="138" t="n">
        <v>20000</v>
      </c>
      <c r="D11" s="139" t="n">
        <v>54900</v>
      </c>
      <c r="E11" s="140" t="n">
        <v>3921.42857142857</v>
      </c>
    </row>
    <row r="12" ht="19.5" customHeight="1" s="114">
      <c r="A12" s="146" t="inlineStr">
        <is>
          <t>TOTAL</t>
        </is>
      </c>
      <c r="B12" s="147" t="n">
        <v>40</v>
      </c>
      <c r="C12" s="148" t="n">
        <v>52000</v>
      </c>
      <c r="D12" s="149" t="n">
        <v>141075</v>
      </c>
    </row>
    <row r="14" ht="25.5" customHeight="1" s="114">
      <c r="A14" s="134" t="inlineStr">
        <is>
          <t>ORDER STATUS BREAKDOWN</t>
        </is>
      </c>
    </row>
    <row r="15" ht="19.5" customHeight="1" s="114">
      <c r="A15" s="135" t="inlineStr">
        <is>
          <t>Status</t>
        </is>
      </c>
      <c r="B15" s="135" t="inlineStr">
        <is>
          <t>Count</t>
        </is>
      </c>
      <c r="C15" s="135" t="inlineStr">
        <is>
          <t>Value</t>
        </is>
      </c>
      <c r="D15" s="135" t="inlineStr">
        <is>
          <t>% of Orders</t>
        </is>
      </c>
      <c r="E15" s="135" t="inlineStr">
        <is>
          <t>Avg Value</t>
        </is>
      </c>
    </row>
    <row r="16" ht="18" customHeight="1" s="114">
      <c r="A16" s="150" t="inlineStr">
        <is>
          <t>Pending Review</t>
        </is>
      </c>
      <c r="B16" s="142" t="n">
        <v>3</v>
      </c>
      <c r="C16" s="144" t="n">
        <v>5100</v>
      </c>
      <c r="D16" s="151" t="n">
        <v>0.075</v>
      </c>
      <c r="E16" s="145" t="n">
        <v>1700</v>
      </c>
    </row>
    <row r="17" ht="18" customHeight="1" s="114">
      <c r="A17" s="152" t="inlineStr">
        <is>
          <t>Confirmed</t>
        </is>
      </c>
      <c r="B17" s="137" t="n">
        <v>2</v>
      </c>
      <c r="C17" s="139" t="n">
        <v>6375</v>
      </c>
      <c r="D17" s="153" t="n">
        <v>0.05</v>
      </c>
      <c r="E17" s="140" t="n">
        <v>3187.5</v>
      </c>
    </row>
    <row r="18" ht="18" customHeight="1" s="114">
      <c r="A18" s="154" t="inlineStr">
        <is>
          <t>Paid</t>
        </is>
      </c>
      <c r="B18" s="142" t="n">
        <v>12</v>
      </c>
      <c r="C18" s="144" t="n">
        <v>58275</v>
      </c>
      <c r="D18" s="151" t="n">
        <v>0.3</v>
      </c>
      <c r="E18" s="145" t="n">
        <v>4856.25</v>
      </c>
    </row>
    <row r="19" ht="18" customHeight="1" s="114">
      <c r="A19" s="155" t="inlineStr">
        <is>
          <t>Shipped</t>
        </is>
      </c>
      <c r="B19" s="137" t="n">
        <v>7</v>
      </c>
      <c r="C19" s="139" t="n">
        <v>19200</v>
      </c>
      <c r="D19" s="153" t="n">
        <v>0.175</v>
      </c>
      <c r="E19" s="140" t="n">
        <v>2742.85714285714</v>
      </c>
    </row>
    <row r="20" ht="18" customHeight="1" s="114">
      <c r="A20" s="156" t="inlineStr">
        <is>
          <t>Delivered</t>
        </is>
      </c>
      <c r="B20" s="142" t="n">
        <v>13</v>
      </c>
      <c r="C20" s="144" t="n">
        <v>63600</v>
      </c>
      <c r="D20" s="151" t="n">
        <v>0.325</v>
      </c>
      <c r="E20" s="145" t="n">
        <v>4892.30769230769</v>
      </c>
    </row>
    <row r="21" ht="18" customHeight="1" s="114">
      <c r="A21" s="157" t="inlineStr">
        <is>
          <t>Cancelled</t>
        </is>
      </c>
      <c r="B21" s="137" t="n">
        <v>3</v>
      </c>
      <c r="C21" s="139" t="n">
        <v>8550</v>
      </c>
      <c r="D21" s="153" t="n">
        <v>0.075</v>
      </c>
      <c r="E21" s="140" t="n">
        <v>2850</v>
      </c>
    </row>
    <row r="24" ht="25.5" customHeight="1" s="114">
      <c r="G24" s="134" t="inlineStr">
        <is>
          <t>DISCOUNT CODE USAGE</t>
        </is>
      </c>
    </row>
    <row r="25" ht="19.5" customHeight="1" s="114">
      <c r="G25" s="135" t="inlineStr">
        <is>
          <t>Code</t>
        </is>
      </c>
      <c r="H25" s="135" t="inlineStr">
        <is>
          <t>Category</t>
        </is>
      </c>
      <c r="I25" s="135" t="inlineStr">
        <is>
          <t>Disc%</t>
        </is>
      </c>
      <c r="J25" s="135" t="inlineStr">
        <is>
          <t>Times Used</t>
        </is>
      </c>
    </row>
    <row r="26" ht="18" customHeight="1" s="114">
      <c r="G26" s="141" t="inlineStr">
        <is>
          <t>SCHOOL15</t>
        </is>
      </c>
      <c r="H26" s="158" t="inlineStr">
        <is>
          <t>school</t>
        </is>
      </c>
      <c r="I26" s="159" t="n">
        <v>0.15</v>
      </c>
      <c r="J26" s="160" t="n">
        <v>5</v>
      </c>
    </row>
    <row r="27" ht="18" customHeight="1" s="114">
      <c r="G27" s="136" t="inlineStr">
        <is>
          <t>YOUTHFUEL</t>
        </is>
      </c>
      <c r="H27" s="161" t="inlineStr">
        <is>
          <t>school</t>
        </is>
      </c>
      <c r="I27" s="162" t="n">
        <v>0.15</v>
      </c>
      <c r="J27" s="163" t="n">
        <v>4</v>
      </c>
    </row>
    <row r="28" ht="18" customHeight="1" s="114">
      <c r="G28" s="141" t="inlineStr">
        <is>
          <t>MILITARY20</t>
        </is>
      </c>
      <c r="H28" s="158" t="inlineStr">
        <is>
          <t>veteran</t>
        </is>
      </c>
      <c r="I28" s="159" t="n">
        <v>0.2</v>
      </c>
      <c r="J28" s="160" t="n">
        <v>4</v>
      </c>
    </row>
    <row r="29" ht="18" customHeight="1" s="114">
      <c r="G29" s="136" t="inlineStr">
        <is>
          <t>VETERAN20</t>
        </is>
      </c>
      <c r="H29" s="161" t="inlineStr">
        <is>
          <t>veteran</t>
        </is>
      </c>
      <c r="I29" s="162" t="n">
        <v>0.2</v>
      </c>
      <c r="J29" s="163" t="n">
        <v>3</v>
      </c>
    </row>
    <row r="30" ht="18" customHeight="1" s="114">
      <c r="G30" s="141" t="inlineStr">
        <is>
          <t>KIDS15</t>
        </is>
      </c>
      <c r="H30" s="158" t="inlineStr">
        <is>
          <t>kids</t>
        </is>
      </c>
      <c r="I30" s="159" t="n">
        <v>0.15</v>
      </c>
      <c r="J30" s="160" t="n">
        <v>1</v>
      </c>
    </row>
    <row r="31" ht="18" customHeight="1" s="114">
      <c r="G31" s="136" t="inlineStr">
        <is>
          <t>AFTERSCHOOL</t>
        </is>
      </c>
      <c r="H31" s="161" t="inlineStr">
        <is>
          <t>kids</t>
        </is>
      </c>
      <c r="I31" s="162" t="n">
        <v>0.15</v>
      </c>
      <c r="J31" s="163" t="n">
        <v>4</v>
      </c>
    </row>
    <row r="32" ht="18" customHeight="1" s="114">
      <c r="G32" s="141" t="inlineStr">
        <is>
          <t>NEWYEAR10</t>
        </is>
      </c>
      <c r="H32" s="158" t="inlineStr">
        <is>
          <t>holiday</t>
        </is>
      </c>
      <c r="I32" s="159" t="n">
        <v>0.1</v>
      </c>
      <c r="J32" s="160" t="n">
        <v>1</v>
      </c>
    </row>
    <row r="33" ht="18" customHeight="1" s="114">
      <c r="G33" s="136" t="inlineStr">
        <is>
          <t>JULY4TH</t>
        </is>
      </c>
      <c r="H33" s="161" t="inlineStr">
        <is>
          <t>holiday</t>
        </is>
      </c>
      <c r="I33" s="162" t="n">
        <v>0.1</v>
      </c>
      <c r="J33" s="164" t="n">
        <v>0</v>
      </c>
    </row>
    <row r="34" ht="18" customHeight="1" s="114">
      <c r="G34" s="141" t="inlineStr">
        <is>
          <t>BFCM10</t>
        </is>
      </c>
      <c r="H34" s="158" t="inlineStr">
        <is>
          <t>holiday</t>
        </is>
      </c>
      <c r="I34" s="159" t="n">
        <v>0.1</v>
      </c>
      <c r="J34" s="160" t="n">
        <v>6</v>
      </c>
    </row>
    <row r="35" ht="18" customHeight="1" s="114">
      <c r="G35" s="136" t="inlineStr">
        <is>
          <t>HOLIDAY10</t>
        </is>
      </c>
      <c r="H35" s="161" t="inlineStr">
        <is>
          <t>holiday</t>
        </is>
      </c>
      <c r="I35" s="162" t="n">
        <v>0.1</v>
      </c>
      <c r="J35" s="163" t="n">
        <v>5</v>
      </c>
    </row>
  </sheetData>
  <mergeCells count="21">
    <mergeCell ref="C5:D5"/>
    <mergeCell ref="E5:F5"/>
    <mergeCell ref="K5:L5"/>
    <mergeCell ref="M5:N5"/>
    <mergeCell ref="C4:D4"/>
    <mergeCell ref="E4:F4"/>
    <mergeCell ref="O5:P5"/>
    <mergeCell ref="A7:E7"/>
    <mergeCell ref="O4:P4"/>
    <mergeCell ref="A1:P1"/>
    <mergeCell ref="A5:B5"/>
    <mergeCell ref="G5:H5"/>
    <mergeCell ref="I5:J5"/>
    <mergeCell ref="A14:E14"/>
    <mergeCell ref="A4:B4"/>
    <mergeCell ref="G4:H4"/>
    <mergeCell ref="I4:J4"/>
    <mergeCell ref="G24:J24"/>
    <mergeCell ref="K4:L4"/>
    <mergeCell ref="M4:N4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980B9"/>
    <outlinePr summaryBelow="1" summaryRight="1"/>
    <pageSetUpPr fitToPage="0"/>
  </sheetPr>
  <dimension ref="A1:T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13" min="1" max="1"/>
    <col width="18" customWidth="1" style="113" min="2" max="2"/>
    <col width="20" customWidth="1" style="113" min="3" max="3"/>
    <col width="28" customWidth="1" style="113" min="4" max="4"/>
    <col width="16" customWidth="1" style="113" min="5" max="5"/>
    <col width="26" customWidth="1" style="113" min="6" max="6"/>
    <col width="24" customWidth="1" style="113" min="7" max="7"/>
    <col width="20" customWidth="1" style="113" min="8" max="8"/>
    <col width="14" customWidth="1" style="113" min="9" max="9"/>
    <col width="7" customWidth="1" style="113" min="10" max="10"/>
    <col width="24" customWidth="1" style="113" min="11" max="11"/>
    <col width="11" customWidth="1" style="113" min="12" max="12"/>
    <col width="7" customWidth="1" style="113" min="13" max="13"/>
    <col width="13" customWidth="1" style="113" min="14" max="14"/>
    <col width="12" customWidth="1" style="113" min="15" max="15"/>
    <col width="9" customWidth="1" style="113" min="16" max="16"/>
    <col width="13" customWidth="1" style="113" min="17" max="18"/>
    <col width="16" customWidth="1" style="113" min="19" max="19"/>
    <col width="22" customWidth="1" style="113" min="20" max="20"/>
  </cols>
  <sheetData>
    <row r="1" ht="42" customHeight="1" s="114">
      <c r="A1" s="115" t="inlineStr">
        <is>
          <t>KC  KILACOMBS - WHOLESALE ORDERS LOG</t>
        </is>
      </c>
    </row>
    <row r="2" ht="18" customHeight="1" s="114">
      <c r="A2" s="116" t="inlineStr">
        <is>
          <t>All wholesale order records  |  One row per order</t>
        </is>
      </c>
    </row>
    <row r="3" ht="19.5" customHeight="1" s="114">
      <c r="A3" s="135" t="inlineStr">
        <is>
          <t>Order ID</t>
        </is>
      </c>
      <c r="B3" s="135" t="inlineStr">
        <is>
          <t>Date Submitted</t>
        </is>
      </c>
      <c r="C3" s="135" t="inlineStr">
        <is>
          <t>Contact Name</t>
        </is>
      </c>
      <c r="D3" s="135" t="inlineStr">
        <is>
          <t>Email</t>
        </is>
      </c>
      <c r="E3" s="135" t="inlineStr">
        <is>
          <t>Phone</t>
        </is>
      </c>
      <c r="F3" s="135" t="inlineStr">
        <is>
          <t>Business Name</t>
        </is>
      </c>
      <c r="G3" s="135" t="inlineStr">
        <is>
          <t>Business Type</t>
        </is>
      </c>
      <c r="H3" s="135" t="inlineStr">
        <is>
          <t>Buyer Category</t>
        </is>
      </c>
      <c r="I3" s="135" t="inlineStr">
        <is>
          <t>City</t>
        </is>
      </c>
      <c r="J3" s="135" t="inlineStr">
        <is>
          <t>State</t>
        </is>
      </c>
      <c r="K3" s="135" t="inlineStr">
        <is>
          <t>Variant</t>
        </is>
      </c>
      <c r="L3" s="135" t="inlineStr">
        <is>
          <t>Qty (Packs)</t>
        </is>
      </c>
      <c r="M3" s="135" t="inlineStr">
        <is>
          <t>$/Pack</t>
        </is>
      </c>
      <c r="N3" s="135" t="inlineStr">
        <is>
          <t>Subtotal</t>
        </is>
      </c>
      <c r="O3" s="135" t="inlineStr">
        <is>
          <t>Disc. Code</t>
        </is>
      </c>
      <c r="P3" s="135" t="inlineStr">
        <is>
          <t>Disc. %</t>
        </is>
      </c>
      <c r="Q3" s="135" t="inlineStr">
        <is>
          <t>Disc. Amount</t>
        </is>
      </c>
      <c r="R3" s="135" t="inlineStr">
        <is>
          <t>Order Total</t>
        </is>
      </c>
      <c r="S3" s="135" t="inlineStr">
        <is>
          <t>Status</t>
        </is>
      </c>
      <c r="T3" s="135" t="inlineStr">
        <is>
          <t>Notes</t>
        </is>
      </c>
    </row>
    <row r="4" ht="18" customHeight="1" s="114">
      <c r="A4" s="141" t="inlineStr">
        <is>
          <t>KC-WS-D0TZDWH0V223</t>
        </is>
      </c>
      <c r="B4" s="158" t="inlineStr">
        <is>
          <t>2025-09-12 04:28</t>
        </is>
      </c>
      <c r="C4" s="165" t="inlineStr">
        <is>
          <t>Layla Moore</t>
        </is>
      </c>
      <c r="D4" s="158" t="inlineStr">
        <is>
          <t>layla@riversidew.com</t>
        </is>
      </c>
      <c r="E4" s="158" t="inlineStr">
        <is>
          <t>(417) 355-8560</t>
        </is>
      </c>
      <c r="F4" s="166" t="inlineStr">
        <is>
          <t>Riverside Wrestling Club</t>
        </is>
      </c>
      <c r="G4" s="158" t="inlineStr">
        <is>
          <t>Nutrition Store</t>
        </is>
      </c>
      <c r="H4" s="166" t="inlineStr">
        <is>
          <t>Military / Veteran</t>
        </is>
      </c>
      <c r="I4" s="158" t="inlineStr">
        <is>
          <t>Brooklyn</t>
        </is>
      </c>
      <c r="J4" s="167" t="inlineStr">
        <is>
          <t>NY</t>
        </is>
      </c>
      <c r="K4" s="168" t="inlineStr">
        <is>
          <t>🍯 Original Honey Blend</t>
        </is>
      </c>
      <c r="L4" s="143" t="n">
        <v>1000</v>
      </c>
      <c r="M4" s="169" t="n">
        <v>3</v>
      </c>
      <c r="N4" s="145" t="n">
        <v>3000</v>
      </c>
      <c r="O4" s="170" t="inlineStr">
        <is>
          <t>SCHOOL15</t>
        </is>
      </c>
      <c r="P4" s="159" t="n">
        <v>0.15</v>
      </c>
      <c r="Q4" s="171" t="n">
        <v>450</v>
      </c>
      <c r="R4" s="172" t="n">
        <v>2550</v>
      </c>
      <c r="S4" s="173" t="inlineStr">
        <is>
          <t>Confirmed</t>
        </is>
      </c>
      <c r="T4" s="158" t="n"/>
    </row>
    <row r="5" ht="18" customHeight="1" s="114">
      <c r="A5" s="136" t="inlineStr">
        <is>
          <t>KC-WS-H9TQ6V9MH7F2</t>
        </is>
      </c>
      <c r="B5" s="161" t="inlineStr">
        <is>
          <t>2025-10-04 04:28</t>
        </is>
      </c>
      <c r="C5" s="174" t="inlineStr">
        <is>
          <t>Sofia Lewis</t>
        </is>
      </c>
      <c r="D5" s="161" t="inlineStr">
        <is>
          <t>sofia@nutriprosu.com</t>
        </is>
      </c>
      <c r="E5" s="161" t="inlineStr">
        <is>
          <t>(381) 715-3883</t>
        </is>
      </c>
      <c r="F5" s="175" t="inlineStr">
        <is>
          <t>NutriPro Supply</t>
        </is>
      </c>
      <c r="G5" s="161" t="inlineStr">
        <is>
          <t>Gym / Fitness Center</t>
        </is>
      </c>
      <c r="H5" s="175" t="inlineStr">
        <is>
          <t>Reseller / Gym</t>
        </is>
      </c>
      <c r="I5" s="161" t="inlineStr">
        <is>
          <t>Atlanta</t>
        </is>
      </c>
      <c r="J5" s="164" t="inlineStr">
        <is>
          <t>GA</t>
        </is>
      </c>
      <c r="K5" s="176" t="inlineStr">
        <is>
          <t>🍯 Original Honey Blend</t>
        </is>
      </c>
      <c r="L5" s="138" t="n">
        <v>1000</v>
      </c>
      <c r="M5" s="177" t="n">
        <v>3</v>
      </c>
      <c r="N5" s="140" t="n">
        <v>3000</v>
      </c>
      <c r="O5" s="178" t="inlineStr">
        <is>
          <t>AFTERSCHOOL</t>
        </is>
      </c>
      <c r="P5" s="162" t="n">
        <v>0.15</v>
      </c>
      <c r="Q5" s="179" t="n">
        <v>450</v>
      </c>
      <c r="R5" s="180" t="n">
        <v>2550</v>
      </c>
      <c r="S5" s="181" t="inlineStr">
        <is>
          <t>Pending Review</t>
        </is>
      </c>
      <c r="T5" s="161" t="n"/>
    </row>
    <row r="6" ht="18" customHeight="1" s="114">
      <c r="A6" s="141" t="inlineStr">
        <is>
          <t>KC-WS-ALSH2BHJO1MZ</t>
        </is>
      </c>
      <c r="B6" s="158" t="inlineStr">
        <is>
          <t>2026-02-19 04:28</t>
        </is>
      </c>
      <c r="C6" s="165" t="inlineStr">
        <is>
          <t>Elijah Lewis</t>
        </is>
      </c>
      <c r="D6" s="158" t="inlineStr">
        <is>
          <t>elijah@steelcityf.com</t>
        </is>
      </c>
      <c r="E6" s="158" t="inlineStr">
        <is>
          <t>(334) 956-3464</t>
        </is>
      </c>
      <c r="F6" s="166" t="inlineStr">
        <is>
          <t>Steel City Fitness</t>
        </is>
      </c>
      <c r="G6" s="158" t="inlineStr">
        <is>
          <t>Personal Training Business</t>
        </is>
      </c>
      <c r="H6" s="166" t="inlineStr">
        <is>
          <t>Reseller / Gym</t>
        </is>
      </c>
      <c r="I6" s="158" t="inlineStr">
        <is>
          <t>Chicago</t>
        </is>
      </c>
      <c r="J6" s="167" t="inlineStr">
        <is>
          <t>IL</t>
        </is>
      </c>
      <c r="K6" s="168" t="inlineStr">
        <is>
          <t>🫚 Ginger Boost</t>
        </is>
      </c>
      <c r="L6" s="143" t="n">
        <v>500</v>
      </c>
      <c r="M6" s="169" t="n">
        <v>3</v>
      </c>
      <c r="N6" s="145" t="n">
        <v>1500</v>
      </c>
      <c r="O6" s="158" t="inlineStr">
        <is>
          <t>-</t>
        </is>
      </c>
      <c r="P6" s="182" t="n">
        <v>0</v>
      </c>
      <c r="Q6" s="183" t="n">
        <v>0</v>
      </c>
      <c r="R6" s="172" t="n">
        <v>1500</v>
      </c>
      <c r="S6" s="184" t="inlineStr">
        <is>
          <t>Paid</t>
        </is>
      </c>
      <c r="T6" s="158" t="n"/>
    </row>
    <row r="7" ht="18" customHeight="1" s="114">
      <c r="A7" s="136" t="inlineStr">
        <is>
          <t>KC-WS-5LRIJ4NYSA3M</t>
        </is>
      </c>
      <c r="B7" s="161" t="inlineStr">
        <is>
          <t>2025-11-29 04:28</t>
        </is>
      </c>
      <c r="C7" s="174" t="inlineStr">
        <is>
          <t>Naomi Davis</t>
        </is>
      </c>
      <c r="D7" s="161" t="inlineStr">
        <is>
          <t>naomi@elitecomba.com</t>
        </is>
      </c>
      <c r="E7" s="161" t="inlineStr">
        <is>
          <t>(608) 544-7543</t>
        </is>
      </c>
      <c r="F7" s="175" t="inlineStr">
        <is>
          <t>Elite Combat Training</t>
        </is>
      </c>
      <c r="G7" s="161" t="inlineStr">
        <is>
          <t>Personal Training Business</t>
        </is>
      </c>
      <c r="H7" s="175" t="inlineStr">
        <is>
          <t>Personal / Team</t>
        </is>
      </c>
      <c r="I7" s="161" t="inlineStr">
        <is>
          <t>Houston</t>
        </is>
      </c>
      <c r="J7" s="164" t="inlineStr">
        <is>
          <t>TX</t>
        </is>
      </c>
      <c r="K7" s="176" t="inlineStr">
        <is>
          <t>🍯 Original Honey Blend</t>
        </is>
      </c>
      <c r="L7" s="138" t="n">
        <v>2000</v>
      </c>
      <c r="M7" s="177" t="n">
        <v>3</v>
      </c>
      <c r="N7" s="140" t="n">
        <v>6000</v>
      </c>
      <c r="O7" s="161" t="inlineStr">
        <is>
          <t>-</t>
        </is>
      </c>
      <c r="P7" s="185" t="n">
        <v>0</v>
      </c>
      <c r="Q7" s="186" t="n">
        <v>0</v>
      </c>
      <c r="R7" s="180" t="n">
        <v>6000</v>
      </c>
      <c r="S7" s="187" t="inlineStr">
        <is>
          <t>Delivered</t>
        </is>
      </c>
      <c r="T7" s="161" t="inlineStr">
        <is>
          <t>Invoice needed</t>
        </is>
      </c>
    </row>
    <row r="8" ht="18" customHeight="1" s="114">
      <c r="A8" s="141" t="inlineStr">
        <is>
          <t>KC-WS-LXXL5ZH3YIK1</t>
        </is>
      </c>
      <c r="B8" s="158" t="inlineStr">
        <is>
          <t>2026-02-13 04:28</t>
        </is>
      </c>
      <c r="C8" s="165" t="inlineStr">
        <is>
          <t>Sofia Martinez</t>
        </is>
      </c>
      <c r="D8" s="158" t="inlineStr">
        <is>
          <t>sofia@apexwrestl.com</t>
        </is>
      </c>
      <c r="E8" s="158" t="inlineStr">
        <is>
          <t>(648) 631-5197</t>
        </is>
      </c>
      <c r="F8" s="166" t="inlineStr">
        <is>
          <t>Apex Wrestling Academy</t>
        </is>
      </c>
      <c r="G8" s="158" t="inlineStr">
        <is>
          <t>Wrestling / MMA Academy</t>
        </is>
      </c>
      <c r="H8" s="166" t="inlineStr">
        <is>
          <t>Military / Veteran</t>
        </is>
      </c>
      <c r="I8" s="158" t="inlineStr">
        <is>
          <t>Detroit</t>
        </is>
      </c>
      <c r="J8" s="167" t="inlineStr">
        <is>
          <t>MI</t>
        </is>
      </c>
      <c r="K8" s="168" t="inlineStr">
        <is>
          <t>⚡ B-Vitamin Surge</t>
        </is>
      </c>
      <c r="L8" s="143" t="n">
        <v>2000</v>
      </c>
      <c r="M8" s="169" t="n">
        <v>3</v>
      </c>
      <c r="N8" s="145" t="n">
        <v>6000</v>
      </c>
      <c r="O8" s="170" t="inlineStr">
        <is>
          <t>HOLIDAY10</t>
        </is>
      </c>
      <c r="P8" s="159" t="n">
        <v>0.1</v>
      </c>
      <c r="Q8" s="171" t="n">
        <v>600</v>
      </c>
      <c r="R8" s="172" t="n">
        <v>5400</v>
      </c>
      <c r="S8" s="184" t="inlineStr">
        <is>
          <t>Paid</t>
        </is>
      </c>
      <c r="T8" s="158" t="inlineStr">
        <is>
          <t>Invoice needed</t>
        </is>
      </c>
    </row>
    <row r="9" ht="18" customHeight="1" s="114">
      <c r="A9" s="136" t="inlineStr">
        <is>
          <t>KC-WS-3FNY5WZHMHAM</t>
        </is>
      </c>
      <c r="B9" s="161" t="inlineStr">
        <is>
          <t>2025-12-20 04:28</t>
        </is>
      </c>
      <c r="C9" s="174" t="inlineStr">
        <is>
          <t>James Walker</t>
        </is>
      </c>
      <c r="D9" s="161" t="inlineStr">
        <is>
          <t>james@peakperfor.com</t>
        </is>
      </c>
      <c r="E9" s="161" t="inlineStr">
        <is>
          <t>(397) 880-3812</t>
        </is>
      </c>
      <c r="F9" s="175" t="inlineStr">
        <is>
          <t>Peak Performance Fitness</t>
        </is>
      </c>
      <c r="G9" s="161" t="inlineStr">
        <is>
          <t>Youth Sports Program</t>
        </is>
      </c>
      <c r="H9" s="175" t="inlineStr">
        <is>
          <t>Personal / Team</t>
        </is>
      </c>
      <c r="I9" s="161" t="inlineStr">
        <is>
          <t>Philadelphia</t>
        </is>
      </c>
      <c r="J9" s="164" t="inlineStr">
        <is>
          <t>PA</t>
        </is>
      </c>
      <c r="K9" s="176" t="inlineStr">
        <is>
          <t>🫚 Ginger Boost</t>
        </is>
      </c>
      <c r="L9" s="138" t="n">
        <v>1000</v>
      </c>
      <c r="M9" s="177" t="n">
        <v>3</v>
      </c>
      <c r="N9" s="140" t="n">
        <v>3000</v>
      </c>
      <c r="O9" s="178" t="inlineStr">
        <is>
          <t>VETERAN20</t>
        </is>
      </c>
      <c r="P9" s="162" t="n">
        <v>0.2</v>
      </c>
      <c r="Q9" s="179" t="n">
        <v>600</v>
      </c>
      <c r="R9" s="180" t="n">
        <v>2400</v>
      </c>
      <c r="S9" s="188" t="inlineStr">
        <is>
          <t>Cancelled</t>
        </is>
      </c>
      <c r="T9" s="161" t="inlineStr">
        <is>
          <t>Ship ASAP</t>
        </is>
      </c>
    </row>
    <row r="10" ht="18" customHeight="1" s="114">
      <c r="A10" s="141" t="inlineStr">
        <is>
          <t>KC-WS-S899S37J4PUW</t>
        </is>
      </c>
      <c r="B10" s="158" t="inlineStr">
        <is>
          <t>2025-09-25 04:28</t>
        </is>
      </c>
      <c r="C10" s="165" t="inlineStr">
        <is>
          <t>Christian Wilson</t>
        </is>
      </c>
      <c r="D10" s="158" t="inlineStr">
        <is>
          <t>christian@victorymar.com</t>
        </is>
      </c>
      <c r="E10" s="158" t="inlineStr">
        <is>
          <t>(983) 820-5710</t>
        </is>
      </c>
      <c r="F10" s="166" t="inlineStr">
        <is>
          <t>Victory Martial Arts</t>
        </is>
      </c>
      <c r="G10" s="158" t="inlineStr">
        <is>
          <t>School / University</t>
        </is>
      </c>
      <c r="H10" s="166" t="inlineStr">
        <is>
          <t>Reseller / Gym</t>
        </is>
      </c>
      <c r="I10" s="158" t="inlineStr">
        <is>
          <t>New York</t>
        </is>
      </c>
      <c r="J10" s="167" t="inlineStr">
        <is>
          <t>NY</t>
        </is>
      </c>
      <c r="K10" s="168" t="inlineStr">
        <is>
          <t>🍯 Original Honey Blend</t>
        </is>
      </c>
      <c r="L10" s="143" t="n">
        <v>3000</v>
      </c>
      <c r="M10" s="169" t="n">
        <v>3</v>
      </c>
      <c r="N10" s="145" t="n">
        <v>9000</v>
      </c>
      <c r="O10" s="170" t="inlineStr">
        <is>
          <t>AFTERSCHOOL</t>
        </is>
      </c>
      <c r="P10" s="159" t="n">
        <v>0.15</v>
      </c>
      <c r="Q10" s="171" t="n">
        <v>1350</v>
      </c>
      <c r="R10" s="172" t="n">
        <v>7650</v>
      </c>
      <c r="S10" s="184" t="inlineStr">
        <is>
          <t>Paid</t>
        </is>
      </c>
      <c r="T10" s="158" t="n"/>
    </row>
    <row r="11" ht="18" customHeight="1" s="114">
      <c r="A11" s="136" t="inlineStr">
        <is>
          <t>KC-WS-U8VK192OGQEE</t>
        </is>
      </c>
      <c r="B11" s="161" t="inlineStr">
        <is>
          <t>2025-11-11 04:28</t>
        </is>
      </c>
      <c r="C11" s="174" t="inlineStr">
        <is>
          <t>Maya Jackson</t>
        </is>
      </c>
      <c r="D11" s="161" t="inlineStr">
        <is>
          <t>maya@alphatrain.com</t>
        </is>
      </c>
      <c r="E11" s="161" t="inlineStr">
        <is>
          <t>(911) 918-7373</t>
        </is>
      </c>
      <c r="F11" s="175" t="inlineStr">
        <is>
          <t>Alpha Training Center</t>
        </is>
      </c>
      <c r="G11" s="161" t="inlineStr">
        <is>
          <t>Personal Training Business</t>
        </is>
      </c>
      <c r="H11" s="175" t="inlineStr">
        <is>
          <t>School / Program</t>
        </is>
      </c>
      <c r="I11" s="161" t="inlineStr">
        <is>
          <t>New York</t>
        </is>
      </c>
      <c r="J11" s="164" t="inlineStr">
        <is>
          <t>NY</t>
        </is>
      </c>
      <c r="K11" s="176" t="inlineStr">
        <is>
          <t>🍯 Original Honey Blend</t>
        </is>
      </c>
      <c r="L11" s="138" t="n">
        <v>2000</v>
      </c>
      <c r="M11" s="177" t="n">
        <v>3</v>
      </c>
      <c r="N11" s="140" t="n">
        <v>6000</v>
      </c>
      <c r="O11" s="178" t="inlineStr">
        <is>
          <t>YOUTHFUEL</t>
        </is>
      </c>
      <c r="P11" s="162" t="n">
        <v>0.15</v>
      </c>
      <c r="Q11" s="179" t="n">
        <v>900</v>
      </c>
      <c r="R11" s="180" t="n">
        <v>5100</v>
      </c>
      <c r="S11" s="184" t="inlineStr">
        <is>
          <t>Paid</t>
        </is>
      </c>
      <c r="T11" s="161" t="inlineStr">
        <is>
          <t>Invoice needed</t>
        </is>
      </c>
    </row>
    <row r="12" ht="18" customHeight="1" s="114">
      <c r="A12" s="141" t="inlineStr">
        <is>
          <t>KC-WS-7R66RGCIQALR</t>
        </is>
      </c>
      <c r="B12" s="158" t="inlineStr">
        <is>
          <t>2025-12-10 04:28</t>
        </is>
      </c>
      <c r="C12" s="165" t="inlineStr">
        <is>
          <t>Tyler Brown</t>
        </is>
      </c>
      <c r="D12" s="158" t="inlineStr">
        <is>
          <t>tyler@championsp.com</t>
        </is>
      </c>
      <c r="E12" s="158" t="inlineStr">
        <is>
          <t>(870) 951-1064</t>
        </is>
      </c>
      <c r="F12" s="166" t="inlineStr">
        <is>
          <t>Champion Sports Academy</t>
        </is>
      </c>
      <c r="G12" s="158" t="inlineStr">
        <is>
          <t>Youth Sports Program</t>
        </is>
      </c>
      <c r="H12" s="166" t="inlineStr">
        <is>
          <t>Reseller / Gym</t>
        </is>
      </c>
      <c r="I12" s="158" t="inlineStr">
        <is>
          <t>Miami</t>
        </is>
      </c>
      <c r="J12" s="167" t="inlineStr">
        <is>
          <t>FL</t>
        </is>
      </c>
      <c r="K12" s="168" t="inlineStr">
        <is>
          <t>⚡ B-Vitamin Surge</t>
        </is>
      </c>
      <c r="L12" s="143" t="n">
        <v>2000</v>
      </c>
      <c r="M12" s="169" t="n">
        <v>3</v>
      </c>
      <c r="N12" s="145" t="n">
        <v>6000</v>
      </c>
      <c r="O12" s="158" t="inlineStr">
        <is>
          <t>-</t>
        </is>
      </c>
      <c r="P12" s="182" t="n">
        <v>0</v>
      </c>
      <c r="Q12" s="183" t="n">
        <v>0</v>
      </c>
      <c r="R12" s="172" t="n">
        <v>6000</v>
      </c>
      <c r="S12" s="187" t="inlineStr">
        <is>
          <t>Delivered</t>
        </is>
      </c>
      <c r="T12" s="158" t="inlineStr">
        <is>
          <t>Invoice needed</t>
        </is>
      </c>
    </row>
    <row r="13" ht="18" customHeight="1" s="114">
      <c r="A13" s="136" t="inlineStr">
        <is>
          <t>KC-WS-MI1FPZP2EGJN</t>
        </is>
      </c>
      <c r="B13" s="161" t="inlineStr">
        <is>
          <t>2025-10-13 04:28</t>
        </is>
      </c>
      <c r="C13" s="174" t="inlineStr">
        <is>
          <t>Christian Smith</t>
        </is>
      </c>
      <c r="D13" s="161" t="inlineStr">
        <is>
          <t>christian@lincolnhig.com</t>
        </is>
      </c>
      <c r="E13" s="161" t="inlineStr">
        <is>
          <t>(402) 994-3844</t>
        </is>
      </c>
      <c r="F13" s="175" t="inlineStr">
        <is>
          <t>Lincoln High Athletics</t>
        </is>
      </c>
      <c r="G13" s="161" t="inlineStr">
        <is>
          <t>Military / VA Program</t>
        </is>
      </c>
      <c r="H13" s="175" t="inlineStr">
        <is>
          <t>Reseller / Gym</t>
        </is>
      </c>
      <c r="I13" s="161" t="inlineStr">
        <is>
          <t>Houston</t>
        </is>
      </c>
      <c r="J13" s="164" t="inlineStr">
        <is>
          <t>TX</t>
        </is>
      </c>
      <c r="K13" s="176" t="inlineStr">
        <is>
          <t>⚡ B-Vitamin Surge</t>
        </is>
      </c>
      <c r="L13" s="138" t="n">
        <v>500</v>
      </c>
      <c r="M13" s="177" t="n">
        <v>3</v>
      </c>
      <c r="N13" s="140" t="n">
        <v>1500</v>
      </c>
      <c r="O13" s="178" t="inlineStr">
        <is>
          <t>VETERAN20</t>
        </is>
      </c>
      <c r="P13" s="162" t="n">
        <v>0.2</v>
      </c>
      <c r="Q13" s="179" t="n">
        <v>300</v>
      </c>
      <c r="R13" s="180" t="n">
        <v>1200</v>
      </c>
      <c r="S13" s="181" t="inlineStr">
        <is>
          <t>Pending Review</t>
        </is>
      </c>
      <c r="T13" s="161" t="n"/>
    </row>
    <row r="14" ht="18" customHeight="1" s="114">
      <c r="A14" s="141" t="inlineStr">
        <is>
          <t>KC-WS-NM2IV8F163PL</t>
        </is>
      </c>
      <c r="B14" s="158" t="inlineStr">
        <is>
          <t>2026-02-05 04:28</t>
        </is>
      </c>
      <c r="C14" s="165" t="inlineStr">
        <is>
          <t>Jalen Davis</t>
        </is>
      </c>
      <c r="D14" s="158" t="inlineStr">
        <is>
          <t>jalen@peakperfor.com</t>
        </is>
      </c>
      <c r="E14" s="158" t="inlineStr">
        <is>
          <t>(350) 708-9540</t>
        </is>
      </c>
      <c r="F14" s="166" t="inlineStr">
        <is>
          <t>Peak Performance Fitness</t>
        </is>
      </c>
      <c r="G14" s="158" t="inlineStr">
        <is>
          <t>Gym / Fitness Center</t>
        </is>
      </c>
      <c r="H14" s="166" t="inlineStr">
        <is>
          <t>School / Program</t>
        </is>
      </c>
      <c r="I14" s="158" t="inlineStr">
        <is>
          <t>Dallas</t>
        </is>
      </c>
      <c r="J14" s="167" t="inlineStr">
        <is>
          <t>TX</t>
        </is>
      </c>
      <c r="K14" s="168" t="inlineStr">
        <is>
          <t>🍯 Original Honey Blend</t>
        </is>
      </c>
      <c r="L14" s="143" t="n">
        <v>500</v>
      </c>
      <c r="M14" s="169" t="n">
        <v>3</v>
      </c>
      <c r="N14" s="145" t="n">
        <v>1500</v>
      </c>
      <c r="O14" s="170" t="inlineStr">
        <is>
          <t>HOLIDAY10</t>
        </is>
      </c>
      <c r="P14" s="159" t="n">
        <v>0.1</v>
      </c>
      <c r="Q14" s="171" t="n">
        <v>150</v>
      </c>
      <c r="R14" s="172" t="n">
        <v>1350</v>
      </c>
      <c r="S14" s="189" t="inlineStr">
        <is>
          <t>Shipped</t>
        </is>
      </c>
      <c r="T14" s="158" t="inlineStr">
        <is>
          <t>School PO attached</t>
        </is>
      </c>
    </row>
    <row r="15" ht="18" customHeight="1" s="114">
      <c r="A15" s="136" t="inlineStr">
        <is>
          <t>KC-WS-F6FPJVVA8EAK</t>
        </is>
      </c>
      <c r="B15" s="161" t="inlineStr">
        <is>
          <t>2025-10-14 04:28</t>
        </is>
      </c>
      <c r="C15" s="174" t="inlineStr">
        <is>
          <t>Brandon Johnson</t>
        </is>
      </c>
      <c r="D15" s="161" t="inlineStr">
        <is>
          <t>brandon@alphatrain.com</t>
        </is>
      </c>
      <c r="E15" s="161" t="inlineStr">
        <is>
          <t>(502) 497-3025</t>
        </is>
      </c>
      <c r="F15" s="175" t="inlineStr">
        <is>
          <t>Alpha Training Center</t>
        </is>
      </c>
      <c r="G15" s="161" t="inlineStr">
        <is>
          <t>Online Reseller</t>
        </is>
      </c>
      <c r="H15" s="175" t="inlineStr">
        <is>
          <t>Personal / Team</t>
        </is>
      </c>
      <c r="I15" s="161" t="inlineStr">
        <is>
          <t>Miami</t>
        </is>
      </c>
      <c r="J15" s="164" t="inlineStr">
        <is>
          <t>FL</t>
        </is>
      </c>
      <c r="K15" s="176" t="inlineStr">
        <is>
          <t>⚡ B-Vitamin Surge</t>
        </is>
      </c>
      <c r="L15" s="138" t="n">
        <v>5000</v>
      </c>
      <c r="M15" s="177" t="n">
        <v>3</v>
      </c>
      <c r="N15" s="140" t="n">
        <v>15000</v>
      </c>
      <c r="O15" s="161" t="inlineStr">
        <is>
          <t>-</t>
        </is>
      </c>
      <c r="P15" s="185" t="n">
        <v>0</v>
      </c>
      <c r="Q15" s="186" t="n">
        <v>0</v>
      </c>
      <c r="R15" s="180" t="n">
        <v>15000</v>
      </c>
      <c r="S15" s="187" t="inlineStr">
        <is>
          <t>Delivered</t>
        </is>
      </c>
      <c r="T15" s="161" t="n"/>
    </row>
    <row r="16" ht="18" customHeight="1" s="114">
      <c r="A16" s="141" t="inlineStr">
        <is>
          <t>KC-WS-28NJIFY170PZ</t>
        </is>
      </c>
      <c r="B16" s="158" t="inlineStr">
        <is>
          <t>2026-01-06 04:28</t>
        </is>
      </c>
      <c r="C16" s="165" t="inlineStr">
        <is>
          <t>Derek Wilson</t>
        </is>
      </c>
      <c r="D16" s="158" t="inlineStr">
        <is>
          <t>derek@lincolnhig.com</t>
        </is>
      </c>
      <c r="E16" s="158" t="inlineStr">
        <is>
          <t>(378) 736-7656</t>
        </is>
      </c>
      <c r="F16" s="166" t="inlineStr">
        <is>
          <t>Lincoln High Athletics</t>
        </is>
      </c>
      <c r="G16" s="158" t="inlineStr">
        <is>
          <t>Gym / Fitness Center</t>
        </is>
      </c>
      <c r="H16" s="166" t="inlineStr">
        <is>
          <t>School / Program</t>
        </is>
      </c>
      <c r="I16" s="158" t="inlineStr">
        <is>
          <t>Brooklyn</t>
        </is>
      </c>
      <c r="J16" s="167" t="inlineStr">
        <is>
          <t>NY</t>
        </is>
      </c>
      <c r="K16" s="168" t="inlineStr">
        <is>
          <t>⚡ B-Vitamin Surge</t>
        </is>
      </c>
      <c r="L16" s="143" t="n">
        <v>1500</v>
      </c>
      <c r="M16" s="169" t="n">
        <v>3</v>
      </c>
      <c r="N16" s="145" t="n">
        <v>4500</v>
      </c>
      <c r="O16" s="170" t="inlineStr">
        <is>
          <t>MILITARY20</t>
        </is>
      </c>
      <c r="P16" s="159" t="n">
        <v>0.2</v>
      </c>
      <c r="Q16" s="171" t="n">
        <v>900</v>
      </c>
      <c r="R16" s="172" t="n">
        <v>3600</v>
      </c>
      <c r="S16" s="187" t="inlineStr">
        <is>
          <t>Delivered</t>
        </is>
      </c>
      <c r="T16" s="158" t="inlineStr">
        <is>
          <t>Ship ASAP</t>
        </is>
      </c>
    </row>
    <row r="17" ht="18" customHeight="1" s="114">
      <c r="A17" s="136" t="inlineStr">
        <is>
          <t>KC-WS-4E8WC5G1F7BO</t>
        </is>
      </c>
      <c r="B17" s="161" t="inlineStr">
        <is>
          <t>2025-11-11 04:28</t>
        </is>
      </c>
      <c r="C17" s="174" t="inlineStr">
        <is>
          <t>Tyler Martinez</t>
        </is>
      </c>
      <c r="D17" s="161" t="inlineStr">
        <is>
          <t>tyler@alphatrain.com</t>
        </is>
      </c>
      <c r="E17" s="161" t="inlineStr">
        <is>
          <t>(275) 369-4822</t>
        </is>
      </c>
      <c r="F17" s="175" t="inlineStr">
        <is>
          <t>Alpha Training Center</t>
        </is>
      </c>
      <c r="G17" s="161" t="inlineStr">
        <is>
          <t>Military / VA Program</t>
        </is>
      </c>
      <c r="H17" s="175" t="inlineStr">
        <is>
          <t>Personal / Team</t>
        </is>
      </c>
      <c r="I17" s="161" t="inlineStr">
        <is>
          <t>Chicago</t>
        </is>
      </c>
      <c r="J17" s="164" t="inlineStr">
        <is>
          <t>IL</t>
        </is>
      </c>
      <c r="K17" s="176" t="inlineStr">
        <is>
          <t>🫚 Ginger Boost</t>
        </is>
      </c>
      <c r="L17" s="138" t="n">
        <v>500</v>
      </c>
      <c r="M17" s="177" t="n">
        <v>3</v>
      </c>
      <c r="N17" s="140" t="n">
        <v>1500</v>
      </c>
      <c r="O17" s="178" t="inlineStr">
        <is>
          <t>NEWYEAR10</t>
        </is>
      </c>
      <c r="P17" s="162" t="n">
        <v>0.1</v>
      </c>
      <c r="Q17" s="179" t="n">
        <v>150</v>
      </c>
      <c r="R17" s="180" t="n">
        <v>1350</v>
      </c>
      <c r="S17" s="188" t="inlineStr">
        <is>
          <t>Cancelled</t>
        </is>
      </c>
      <c r="T17" s="161" t="n"/>
    </row>
    <row r="18" ht="18" customHeight="1" s="114">
      <c r="A18" s="141" t="inlineStr">
        <is>
          <t>KC-WS-RZDW6GR6GYGS</t>
        </is>
      </c>
      <c r="B18" s="158" t="inlineStr">
        <is>
          <t>2025-10-27 04:28</t>
        </is>
      </c>
      <c r="C18" s="165" t="inlineStr">
        <is>
          <t>James Allen</t>
        </is>
      </c>
      <c r="D18" s="158" t="inlineStr">
        <is>
          <t>james@fuelupnutr.com</t>
        </is>
      </c>
      <c r="E18" s="158" t="inlineStr">
        <is>
          <t>(756) 279-4845</t>
        </is>
      </c>
      <c r="F18" s="166" t="inlineStr">
        <is>
          <t>FuelUp Nutrition</t>
        </is>
      </c>
      <c r="G18" s="158" t="inlineStr">
        <is>
          <t>School / University</t>
        </is>
      </c>
      <c r="H18" s="166" t="inlineStr">
        <is>
          <t>School / Program</t>
        </is>
      </c>
      <c r="I18" s="158" t="inlineStr">
        <is>
          <t>Detroit</t>
        </is>
      </c>
      <c r="J18" s="167" t="inlineStr">
        <is>
          <t>MI</t>
        </is>
      </c>
      <c r="K18" s="168" t="inlineStr">
        <is>
          <t>⚡ B-Vitamin Surge</t>
        </is>
      </c>
      <c r="L18" s="143" t="n">
        <v>500</v>
      </c>
      <c r="M18" s="169" t="n">
        <v>3</v>
      </c>
      <c r="N18" s="145" t="n">
        <v>1500</v>
      </c>
      <c r="O18" s="170" t="inlineStr">
        <is>
          <t>SCHOOL15</t>
        </is>
      </c>
      <c r="P18" s="159" t="n">
        <v>0.15</v>
      </c>
      <c r="Q18" s="171" t="n">
        <v>225</v>
      </c>
      <c r="R18" s="172" t="n">
        <v>1275</v>
      </c>
      <c r="S18" s="187" t="inlineStr">
        <is>
          <t>Delivered</t>
        </is>
      </c>
      <c r="T18" s="158" t="inlineStr">
        <is>
          <t>School PO attached</t>
        </is>
      </c>
    </row>
    <row r="19" ht="18" customHeight="1" s="114">
      <c r="A19" s="136" t="inlineStr">
        <is>
          <t>KC-WS-MG2BBCGBKJ7J</t>
        </is>
      </c>
      <c r="B19" s="161" t="inlineStr">
        <is>
          <t>2025-10-09 04:28</t>
        </is>
      </c>
      <c r="C19" s="174" t="inlineStr">
        <is>
          <t>Layla Robinson</t>
        </is>
      </c>
      <c r="D19" s="161" t="inlineStr">
        <is>
          <t>layla@forcefitne.com</t>
        </is>
      </c>
      <c r="E19" s="161" t="inlineStr">
        <is>
          <t>(743) 502-4215</t>
        </is>
      </c>
      <c r="F19" s="175" t="inlineStr">
        <is>
          <t>Force Fitness Center</t>
        </is>
      </c>
      <c r="G19" s="161" t="inlineStr">
        <is>
          <t>Military / VA Program</t>
        </is>
      </c>
      <c r="H19" s="175" t="inlineStr">
        <is>
          <t>Reseller / Gym</t>
        </is>
      </c>
      <c r="I19" s="161" t="inlineStr">
        <is>
          <t>Chicago</t>
        </is>
      </c>
      <c r="J19" s="164" t="inlineStr">
        <is>
          <t>IL</t>
        </is>
      </c>
      <c r="K19" s="176" t="inlineStr">
        <is>
          <t>🍯 Original Honey Blend</t>
        </is>
      </c>
      <c r="L19" s="138" t="n">
        <v>1000</v>
      </c>
      <c r="M19" s="177" t="n">
        <v>3</v>
      </c>
      <c r="N19" s="140" t="n">
        <v>3000</v>
      </c>
      <c r="O19" s="178" t="inlineStr">
        <is>
          <t>MILITARY20</t>
        </is>
      </c>
      <c r="P19" s="162" t="n">
        <v>0.2</v>
      </c>
      <c r="Q19" s="179" t="n">
        <v>600</v>
      </c>
      <c r="R19" s="180" t="n">
        <v>2400</v>
      </c>
      <c r="S19" s="187" t="inlineStr">
        <is>
          <t>Delivered</t>
        </is>
      </c>
      <c r="T19" s="161" t="n"/>
    </row>
    <row r="20" ht="18" customHeight="1" s="114">
      <c r="A20" s="141" t="inlineStr">
        <is>
          <t>KC-WS-C8MFC5A76IFC</t>
        </is>
      </c>
      <c r="B20" s="158" t="inlineStr">
        <is>
          <t>2026-02-26 04:28</t>
        </is>
      </c>
      <c r="C20" s="165" t="inlineStr">
        <is>
          <t>Jerome Moore</t>
        </is>
      </c>
      <c r="D20" s="158" t="inlineStr">
        <is>
          <t>jerome@peakperfor.com</t>
        </is>
      </c>
      <c r="E20" s="158" t="inlineStr">
        <is>
          <t>(380) 416-4639</t>
        </is>
      </c>
      <c r="F20" s="166" t="inlineStr">
        <is>
          <t>Peak Performance Fitness</t>
        </is>
      </c>
      <c r="G20" s="158" t="inlineStr">
        <is>
          <t>Military / VA Program</t>
        </is>
      </c>
      <c r="H20" s="166" t="inlineStr">
        <is>
          <t>Military / Veteran</t>
        </is>
      </c>
      <c r="I20" s="158" t="inlineStr">
        <is>
          <t>Cleveland</t>
        </is>
      </c>
      <c r="J20" s="167" t="inlineStr">
        <is>
          <t>OH</t>
        </is>
      </c>
      <c r="K20" s="168" t="inlineStr">
        <is>
          <t>🫚 Ginger Boost</t>
        </is>
      </c>
      <c r="L20" s="143" t="n">
        <v>3000</v>
      </c>
      <c r="M20" s="169" t="n">
        <v>3</v>
      </c>
      <c r="N20" s="145" t="n">
        <v>9000</v>
      </c>
      <c r="O20" s="170" t="inlineStr">
        <is>
          <t>YOUTHFUEL</t>
        </is>
      </c>
      <c r="P20" s="159" t="n">
        <v>0.15</v>
      </c>
      <c r="Q20" s="171" t="n">
        <v>1350</v>
      </c>
      <c r="R20" s="172" t="n">
        <v>7650</v>
      </c>
      <c r="S20" s="184" t="inlineStr">
        <is>
          <t>Paid</t>
        </is>
      </c>
      <c r="T20" s="158" t="n"/>
    </row>
    <row r="21" ht="18" customHeight="1" s="114">
      <c r="A21" s="136" t="inlineStr">
        <is>
          <t>KC-WS-0RUNUXLMETCB</t>
        </is>
      </c>
      <c r="B21" s="161" t="inlineStr">
        <is>
          <t>2025-12-27 04:28</t>
        </is>
      </c>
      <c r="C21" s="174" t="inlineStr">
        <is>
          <t>Marcus Harris</t>
        </is>
      </c>
      <c r="D21" s="161" t="inlineStr">
        <is>
          <t>marcus@warriorsmm.com</t>
        </is>
      </c>
      <c r="E21" s="161" t="inlineStr">
        <is>
          <t>(533) 835-2678</t>
        </is>
      </c>
      <c r="F21" s="175" t="inlineStr">
        <is>
          <t>Warriors MMA</t>
        </is>
      </c>
      <c r="G21" s="161" t="inlineStr">
        <is>
          <t>Youth Sports Program</t>
        </is>
      </c>
      <c r="H21" s="175" t="inlineStr">
        <is>
          <t>Military / Veteran</t>
        </is>
      </c>
      <c r="I21" s="161" t="inlineStr">
        <is>
          <t>Baltimore</t>
        </is>
      </c>
      <c r="J21" s="164" t="inlineStr">
        <is>
          <t>MD</t>
        </is>
      </c>
      <c r="K21" s="176" t="inlineStr">
        <is>
          <t>🫚 Ginger Boost</t>
        </is>
      </c>
      <c r="L21" s="138" t="n">
        <v>500</v>
      </c>
      <c r="M21" s="177" t="n">
        <v>3</v>
      </c>
      <c r="N21" s="140" t="n">
        <v>1500</v>
      </c>
      <c r="O21" s="178" t="inlineStr">
        <is>
          <t>BFCM10</t>
        </is>
      </c>
      <c r="P21" s="162" t="n">
        <v>0.1</v>
      </c>
      <c r="Q21" s="179" t="n">
        <v>150</v>
      </c>
      <c r="R21" s="180" t="n">
        <v>1350</v>
      </c>
      <c r="S21" s="187" t="inlineStr">
        <is>
          <t>Delivered</t>
        </is>
      </c>
      <c r="T21" s="161" t="inlineStr">
        <is>
          <t>Ship ASAP</t>
        </is>
      </c>
    </row>
    <row r="22" ht="18" customHeight="1" s="114">
      <c r="A22" s="141" t="inlineStr">
        <is>
          <t>KC-WS-1EAR73P21SIY</t>
        </is>
      </c>
      <c r="B22" s="158" t="inlineStr">
        <is>
          <t>2026-02-06 04:28</t>
        </is>
      </c>
      <c r="C22" s="165" t="inlineStr">
        <is>
          <t>Aisha Clark</t>
        </is>
      </c>
      <c r="D22" s="158" t="inlineStr">
        <is>
          <t>aisha@combatspor.com</t>
        </is>
      </c>
      <c r="E22" s="158" t="inlineStr">
        <is>
          <t>(493) 607-4414</t>
        </is>
      </c>
      <c r="F22" s="166" t="inlineStr">
        <is>
          <t>Combat Sports Nutrition</t>
        </is>
      </c>
      <c r="G22" s="158" t="inlineStr">
        <is>
          <t>Wrestling / MMA Academy</t>
        </is>
      </c>
      <c r="H22" s="166" t="inlineStr">
        <is>
          <t>Military / Veteran</t>
        </is>
      </c>
      <c r="I22" s="158" t="inlineStr">
        <is>
          <t>Dallas</t>
        </is>
      </c>
      <c r="J22" s="167" t="inlineStr">
        <is>
          <t>TX</t>
        </is>
      </c>
      <c r="K22" s="168" t="inlineStr">
        <is>
          <t>🍯 Original Honey Blend</t>
        </is>
      </c>
      <c r="L22" s="143" t="n">
        <v>5000</v>
      </c>
      <c r="M22" s="169" t="n">
        <v>3</v>
      </c>
      <c r="N22" s="145" t="n">
        <v>15000</v>
      </c>
      <c r="O22" s="170" t="inlineStr">
        <is>
          <t>BFCM10</t>
        </is>
      </c>
      <c r="P22" s="159" t="n">
        <v>0.1</v>
      </c>
      <c r="Q22" s="171" t="n">
        <v>1500</v>
      </c>
      <c r="R22" s="172" t="n">
        <v>13500</v>
      </c>
      <c r="S22" s="184" t="inlineStr">
        <is>
          <t>Paid</t>
        </is>
      </c>
      <c r="T22" s="158" t="n"/>
    </row>
    <row r="23" ht="18" customHeight="1" s="114">
      <c r="A23" s="136" t="inlineStr">
        <is>
          <t>KC-WS-W5G5XUA2HY9A</t>
        </is>
      </c>
      <c r="B23" s="161" t="inlineStr">
        <is>
          <t>2025-11-15 04:28</t>
        </is>
      </c>
      <c r="C23" s="174" t="inlineStr">
        <is>
          <t>Keisha Taylor</t>
        </is>
      </c>
      <c r="D23" s="161" t="inlineStr">
        <is>
          <t>keisha@warriornut.com</t>
        </is>
      </c>
      <c r="E23" s="161" t="inlineStr">
        <is>
          <t>(493) 387-3209</t>
        </is>
      </c>
      <c r="F23" s="175" t="inlineStr">
        <is>
          <t>Warrior Nutrition Co.</t>
        </is>
      </c>
      <c r="G23" s="161" t="inlineStr">
        <is>
          <t>Youth Sports Program</t>
        </is>
      </c>
      <c r="H23" s="175" t="inlineStr">
        <is>
          <t>School / Program</t>
        </is>
      </c>
      <c r="I23" s="161" t="inlineStr">
        <is>
          <t>Chicago</t>
        </is>
      </c>
      <c r="J23" s="164" t="inlineStr">
        <is>
          <t>IL</t>
        </is>
      </c>
      <c r="K23" s="176" t="inlineStr">
        <is>
          <t>⚡ B-Vitamin Surge</t>
        </is>
      </c>
      <c r="L23" s="138" t="n">
        <v>500</v>
      </c>
      <c r="M23" s="177" t="n">
        <v>3</v>
      </c>
      <c r="N23" s="140" t="n">
        <v>1500</v>
      </c>
      <c r="O23" s="161" t="inlineStr">
        <is>
          <t>-</t>
        </is>
      </c>
      <c r="P23" s="185" t="n">
        <v>0</v>
      </c>
      <c r="Q23" s="186" t="n">
        <v>0</v>
      </c>
      <c r="R23" s="180" t="n">
        <v>1500</v>
      </c>
      <c r="S23" s="189" t="inlineStr">
        <is>
          <t>Shipped</t>
        </is>
      </c>
      <c r="T23" s="161" t="inlineStr">
        <is>
          <t>School PO attached</t>
        </is>
      </c>
    </row>
    <row r="24" ht="18" customHeight="1" s="114">
      <c r="A24" s="141" t="inlineStr">
        <is>
          <t>KC-WS-SJ9FJE03JO5V</t>
        </is>
      </c>
      <c r="B24" s="158" t="inlineStr">
        <is>
          <t>2026-01-09 04:28</t>
        </is>
      </c>
      <c r="C24" s="165" t="inlineStr">
        <is>
          <t>Brandon Anderson</t>
        </is>
      </c>
      <c r="D24" s="158" t="inlineStr">
        <is>
          <t>brandon@lincolnhig.com</t>
        </is>
      </c>
      <c r="E24" s="158" t="inlineStr">
        <is>
          <t>(988) 713-6023</t>
        </is>
      </c>
      <c r="F24" s="166" t="inlineStr">
        <is>
          <t>Lincoln High Athletics</t>
        </is>
      </c>
      <c r="G24" s="158" t="inlineStr">
        <is>
          <t>Online Reseller</t>
        </is>
      </c>
      <c r="H24" s="166" t="inlineStr">
        <is>
          <t>Military / Veteran</t>
        </is>
      </c>
      <c r="I24" s="158" t="inlineStr">
        <is>
          <t>Atlanta</t>
        </is>
      </c>
      <c r="J24" s="167" t="inlineStr">
        <is>
          <t>GA</t>
        </is>
      </c>
      <c r="K24" s="168" t="inlineStr">
        <is>
          <t>🫚 Ginger Boost</t>
        </is>
      </c>
      <c r="L24" s="143" t="n">
        <v>500</v>
      </c>
      <c r="M24" s="169" t="n">
        <v>3</v>
      </c>
      <c r="N24" s="145" t="n">
        <v>1500</v>
      </c>
      <c r="O24" s="158" t="inlineStr">
        <is>
          <t>-</t>
        </is>
      </c>
      <c r="P24" s="182" t="n">
        <v>0</v>
      </c>
      <c r="Q24" s="183" t="n">
        <v>0</v>
      </c>
      <c r="R24" s="172" t="n">
        <v>1500</v>
      </c>
      <c r="S24" s="184" t="inlineStr">
        <is>
          <t>Paid</t>
        </is>
      </c>
      <c r="T24" s="158" t="inlineStr">
        <is>
          <t>Mixed flavors OK</t>
        </is>
      </c>
    </row>
    <row r="25" ht="18" customHeight="1" s="114">
      <c r="A25" s="136" t="inlineStr">
        <is>
          <t>KC-WS-SWVCU2UM2O2A</t>
        </is>
      </c>
      <c r="B25" s="161" t="inlineStr">
        <is>
          <t>2026-02-11 04:28</t>
        </is>
      </c>
      <c r="C25" s="174" t="inlineStr">
        <is>
          <t>Chloe Clark</t>
        </is>
      </c>
      <c r="D25" s="161" t="inlineStr">
        <is>
          <t>chloe@elitecomba.com</t>
        </is>
      </c>
      <c r="E25" s="161" t="inlineStr">
        <is>
          <t>(635) 668-2747</t>
        </is>
      </c>
      <c r="F25" s="175" t="inlineStr">
        <is>
          <t>Elite Combat Training</t>
        </is>
      </c>
      <c r="G25" s="161" t="inlineStr">
        <is>
          <t>Wrestling / MMA Academy</t>
        </is>
      </c>
      <c r="H25" s="175" t="inlineStr">
        <is>
          <t>Reseller / Gym</t>
        </is>
      </c>
      <c r="I25" s="161" t="inlineStr">
        <is>
          <t>Houston</t>
        </is>
      </c>
      <c r="J25" s="164" t="inlineStr">
        <is>
          <t>TX</t>
        </is>
      </c>
      <c r="K25" s="176" t="inlineStr">
        <is>
          <t>🍯 Original Honey Blend</t>
        </is>
      </c>
      <c r="L25" s="138" t="n">
        <v>1500</v>
      </c>
      <c r="M25" s="177" t="n">
        <v>3</v>
      </c>
      <c r="N25" s="140" t="n">
        <v>4500</v>
      </c>
      <c r="O25" s="178" t="inlineStr">
        <is>
          <t>AFTERSCHOOL</t>
        </is>
      </c>
      <c r="P25" s="162" t="n">
        <v>0.15</v>
      </c>
      <c r="Q25" s="179" t="n">
        <v>675</v>
      </c>
      <c r="R25" s="180" t="n">
        <v>3825</v>
      </c>
      <c r="S25" s="173" t="inlineStr">
        <is>
          <t>Confirmed</t>
        </is>
      </c>
      <c r="T25" s="161" t="inlineStr">
        <is>
          <t>Ship ASAP</t>
        </is>
      </c>
    </row>
    <row r="26" ht="18" customHeight="1" s="114">
      <c r="A26" s="141" t="inlineStr">
        <is>
          <t>KC-WS-L3YGWL8HOSP8</t>
        </is>
      </c>
      <c r="B26" s="158" t="inlineStr">
        <is>
          <t>2025-11-03 04:28</t>
        </is>
      </c>
      <c r="C26" s="165" t="inlineStr">
        <is>
          <t>Sofia Johnson</t>
        </is>
      </c>
      <c r="D26" s="158" t="inlineStr">
        <is>
          <t>sofia@elitecomba.com</t>
        </is>
      </c>
      <c r="E26" s="158" t="inlineStr">
        <is>
          <t>(755) 831-6725</t>
        </is>
      </c>
      <c r="F26" s="166" t="inlineStr">
        <is>
          <t>Elite Combat Training</t>
        </is>
      </c>
      <c r="G26" s="158" t="inlineStr">
        <is>
          <t>School / University</t>
        </is>
      </c>
      <c r="H26" s="166" t="inlineStr">
        <is>
          <t>Military / Veteran</t>
        </is>
      </c>
      <c r="I26" s="158" t="inlineStr">
        <is>
          <t>Los Angeles</t>
        </is>
      </c>
      <c r="J26" s="167" t="inlineStr">
        <is>
          <t>CA</t>
        </is>
      </c>
      <c r="K26" s="168" t="inlineStr">
        <is>
          <t>🍯 Original Honey Blend</t>
        </is>
      </c>
      <c r="L26" s="143" t="n">
        <v>500</v>
      </c>
      <c r="M26" s="169" t="n">
        <v>3</v>
      </c>
      <c r="N26" s="145" t="n">
        <v>1500</v>
      </c>
      <c r="O26" s="170" t="inlineStr">
        <is>
          <t>BFCM10</t>
        </is>
      </c>
      <c r="P26" s="159" t="n">
        <v>0.1</v>
      </c>
      <c r="Q26" s="171" t="n">
        <v>150</v>
      </c>
      <c r="R26" s="172" t="n">
        <v>1350</v>
      </c>
      <c r="S26" s="184" t="inlineStr">
        <is>
          <t>Paid</t>
        </is>
      </c>
      <c r="T26" s="158" t="n"/>
    </row>
    <row r="27" ht="18" customHeight="1" s="114">
      <c r="A27" s="136" t="inlineStr">
        <is>
          <t>KC-WS-WVZ8VU04TAVM</t>
        </is>
      </c>
      <c r="B27" s="161" t="inlineStr">
        <is>
          <t>2026-02-01 04:28</t>
        </is>
      </c>
      <c r="C27" s="174" t="inlineStr">
        <is>
          <t>Derek Wright</t>
        </is>
      </c>
      <c r="D27" s="161" t="inlineStr">
        <is>
          <t>derek@nutriprosu.com</t>
        </is>
      </c>
      <c r="E27" s="161" t="inlineStr">
        <is>
          <t>(646) 246-2119</t>
        </is>
      </c>
      <c r="F27" s="175" t="inlineStr">
        <is>
          <t>NutriPro Supply</t>
        </is>
      </c>
      <c r="G27" s="161" t="inlineStr">
        <is>
          <t>Military / VA Program</t>
        </is>
      </c>
      <c r="H27" s="175" t="inlineStr">
        <is>
          <t>Military / Veteran</t>
        </is>
      </c>
      <c r="I27" s="161" t="inlineStr">
        <is>
          <t>Cleveland</t>
        </is>
      </c>
      <c r="J27" s="164" t="inlineStr">
        <is>
          <t>OH</t>
        </is>
      </c>
      <c r="K27" s="176" t="inlineStr">
        <is>
          <t>⚡ B-Vitamin Surge</t>
        </is>
      </c>
      <c r="L27" s="138" t="n">
        <v>1000</v>
      </c>
      <c r="M27" s="177" t="n">
        <v>3</v>
      </c>
      <c r="N27" s="140" t="n">
        <v>3000</v>
      </c>
      <c r="O27" s="178" t="inlineStr">
        <is>
          <t>SCHOOL15</t>
        </is>
      </c>
      <c r="P27" s="162" t="n">
        <v>0.15</v>
      </c>
      <c r="Q27" s="179" t="n">
        <v>450</v>
      </c>
      <c r="R27" s="180" t="n">
        <v>2550</v>
      </c>
      <c r="S27" s="187" t="inlineStr">
        <is>
          <t>Delivered</t>
        </is>
      </c>
      <c r="T27" s="161" t="inlineStr">
        <is>
          <t>Invoice needed</t>
        </is>
      </c>
    </row>
    <row r="28" ht="18" customHeight="1" s="114">
      <c r="A28" s="141" t="inlineStr">
        <is>
          <t>KC-WS-B6PWBWRPTNV3</t>
        </is>
      </c>
      <c r="B28" s="158" t="inlineStr">
        <is>
          <t>2025-11-29 04:28</t>
        </is>
      </c>
      <c r="C28" s="165" t="inlineStr">
        <is>
          <t>Chloe Walker</t>
        </is>
      </c>
      <c r="D28" s="158" t="inlineStr">
        <is>
          <t>chloe@nutriprosu.com</t>
        </is>
      </c>
      <c r="E28" s="158" t="inlineStr">
        <is>
          <t>(465) 307-4338</t>
        </is>
      </c>
      <c r="F28" s="166" t="inlineStr">
        <is>
          <t>NutriPro Supply</t>
        </is>
      </c>
      <c r="G28" s="158" t="inlineStr">
        <is>
          <t>Military / VA Program</t>
        </is>
      </c>
      <c r="H28" s="166" t="inlineStr">
        <is>
          <t>School / Program</t>
        </is>
      </c>
      <c r="I28" s="158" t="inlineStr">
        <is>
          <t>Cleveland</t>
        </is>
      </c>
      <c r="J28" s="167" t="inlineStr">
        <is>
          <t>OH</t>
        </is>
      </c>
      <c r="K28" s="168" t="inlineStr">
        <is>
          <t>⚡ B-Vitamin Surge</t>
        </is>
      </c>
      <c r="L28" s="143" t="n">
        <v>500</v>
      </c>
      <c r="M28" s="169" t="n">
        <v>3</v>
      </c>
      <c r="N28" s="145" t="n">
        <v>1500</v>
      </c>
      <c r="O28" s="170" t="inlineStr">
        <is>
          <t>BFCM10</t>
        </is>
      </c>
      <c r="P28" s="159" t="n">
        <v>0.1</v>
      </c>
      <c r="Q28" s="171" t="n">
        <v>150</v>
      </c>
      <c r="R28" s="172" t="n">
        <v>1350</v>
      </c>
      <c r="S28" s="189" t="inlineStr">
        <is>
          <t>Shipped</t>
        </is>
      </c>
      <c r="T28" s="158" t="n"/>
    </row>
    <row r="29" ht="18" customHeight="1" s="114">
      <c r="A29" s="136" t="inlineStr">
        <is>
          <t>KC-WS-VV99J6E54KZ2</t>
        </is>
      </c>
      <c r="B29" s="161" t="inlineStr">
        <is>
          <t>2026-02-27 04:28</t>
        </is>
      </c>
      <c r="C29" s="174" t="inlineStr">
        <is>
          <t>Tyler King</t>
        </is>
      </c>
      <c r="D29" s="161" t="inlineStr">
        <is>
          <t>tyler@warriorsmm.com</t>
        </is>
      </c>
      <c r="E29" s="161" t="inlineStr">
        <is>
          <t>(761) 720-9766</t>
        </is>
      </c>
      <c r="F29" s="175" t="inlineStr">
        <is>
          <t>Warriors MMA</t>
        </is>
      </c>
      <c r="G29" s="161" t="inlineStr">
        <is>
          <t>Youth Sports Program</t>
        </is>
      </c>
      <c r="H29" s="175" t="inlineStr">
        <is>
          <t>School / Program</t>
        </is>
      </c>
      <c r="I29" s="161" t="inlineStr">
        <is>
          <t>New York</t>
        </is>
      </c>
      <c r="J29" s="164" t="inlineStr">
        <is>
          <t>NY</t>
        </is>
      </c>
      <c r="K29" s="176" t="inlineStr">
        <is>
          <t>🫚 Ginger Boost</t>
        </is>
      </c>
      <c r="L29" s="138" t="n">
        <v>2000</v>
      </c>
      <c r="M29" s="177" t="n">
        <v>3</v>
      </c>
      <c r="N29" s="140" t="n">
        <v>6000</v>
      </c>
      <c r="O29" s="178" t="inlineStr">
        <is>
          <t>MILITARY20</t>
        </is>
      </c>
      <c r="P29" s="162" t="n">
        <v>0.2</v>
      </c>
      <c r="Q29" s="179" t="n">
        <v>1200</v>
      </c>
      <c r="R29" s="180" t="n">
        <v>4800</v>
      </c>
      <c r="S29" s="189" t="inlineStr">
        <is>
          <t>Shipped</t>
        </is>
      </c>
      <c r="T29" s="161" t="inlineStr">
        <is>
          <t>Ship ASAP</t>
        </is>
      </c>
    </row>
    <row r="30" ht="18" customHeight="1" s="114">
      <c r="A30" s="141" t="inlineStr">
        <is>
          <t>KC-WS-D8BRRC5ISBQ2</t>
        </is>
      </c>
      <c r="B30" s="158" t="inlineStr">
        <is>
          <t>2025-12-05 04:28</t>
        </is>
      </c>
      <c r="C30" s="165" t="inlineStr">
        <is>
          <t>Christian Robinson</t>
        </is>
      </c>
      <c r="D30" s="158" t="inlineStr">
        <is>
          <t>christian@forcefitne.com</t>
        </is>
      </c>
      <c r="E30" s="158" t="inlineStr">
        <is>
          <t>(774) 332-6820</t>
        </is>
      </c>
      <c r="F30" s="166" t="inlineStr">
        <is>
          <t>Force Fitness Center</t>
        </is>
      </c>
      <c r="G30" s="158" t="inlineStr">
        <is>
          <t>Gym / Fitness Center</t>
        </is>
      </c>
      <c r="H30" s="166" t="inlineStr">
        <is>
          <t>Reseller / Gym</t>
        </is>
      </c>
      <c r="I30" s="158" t="inlineStr">
        <is>
          <t>Houston</t>
        </is>
      </c>
      <c r="J30" s="167" t="inlineStr">
        <is>
          <t>TX</t>
        </is>
      </c>
      <c r="K30" s="168" t="inlineStr">
        <is>
          <t>🫚 Ginger Boost</t>
        </is>
      </c>
      <c r="L30" s="143" t="n">
        <v>1000</v>
      </c>
      <c r="M30" s="169" t="n">
        <v>3</v>
      </c>
      <c r="N30" s="145" t="n">
        <v>3000</v>
      </c>
      <c r="O30" s="170" t="inlineStr">
        <is>
          <t>VETERAN20</t>
        </is>
      </c>
      <c r="P30" s="159" t="n">
        <v>0.2</v>
      </c>
      <c r="Q30" s="171" t="n">
        <v>600</v>
      </c>
      <c r="R30" s="172" t="n">
        <v>2400</v>
      </c>
      <c r="S30" s="187" t="inlineStr">
        <is>
          <t>Delivered</t>
        </is>
      </c>
      <c r="T30" s="158" t="n"/>
    </row>
    <row r="31" ht="18" customHeight="1" s="114">
      <c r="A31" s="136" t="inlineStr">
        <is>
          <t>KC-WS-WA0VFXGE43Q4</t>
        </is>
      </c>
      <c r="B31" s="161" t="inlineStr">
        <is>
          <t>2026-02-28 04:28</t>
        </is>
      </c>
      <c r="C31" s="174" t="inlineStr">
        <is>
          <t>Aisha Scott</t>
        </is>
      </c>
      <c r="D31" s="161" t="inlineStr">
        <is>
          <t>aisha@irongymath.com</t>
        </is>
      </c>
      <c r="E31" s="161" t="inlineStr">
        <is>
          <t>(988) 939-1534</t>
        </is>
      </c>
      <c r="F31" s="175" t="inlineStr">
        <is>
          <t>Iron Gym Athletics LLC</t>
        </is>
      </c>
      <c r="G31" s="161" t="inlineStr">
        <is>
          <t>Youth Sports Program</t>
        </is>
      </c>
      <c r="H31" s="175" t="inlineStr">
        <is>
          <t>Reseller / Gym</t>
        </is>
      </c>
      <c r="I31" s="161" t="inlineStr">
        <is>
          <t>Miami</t>
        </is>
      </c>
      <c r="J31" s="164" t="inlineStr">
        <is>
          <t>FL</t>
        </is>
      </c>
      <c r="K31" s="176" t="inlineStr">
        <is>
          <t>🍯 Original Honey Blend</t>
        </is>
      </c>
      <c r="L31" s="138" t="n">
        <v>3000</v>
      </c>
      <c r="M31" s="177" t="n">
        <v>3</v>
      </c>
      <c r="N31" s="140" t="n">
        <v>9000</v>
      </c>
      <c r="O31" s="178" t="inlineStr">
        <is>
          <t>HOLIDAY10</t>
        </is>
      </c>
      <c r="P31" s="162" t="n">
        <v>0.1</v>
      </c>
      <c r="Q31" s="179" t="n">
        <v>900</v>
      </c>
      <c r="R31" s="180" t="n">
        <v>8100</v>
      </c>
      <c r="S31" s="184" t="inlineStr">
        <is>
          <t>Paid</t>
        </is>
      </c>
      <c r="T31" s="161" t="n"/>
    </row>
    <row r="32" ht="18" customHeight="1" s="114">
      <c r="A32" s="141" t="inlineStr">
        <is>
          <t>KC-WS-ZF72UN4X8JSR</t>
        </is>
      </c>
      <c r="B32" s="158" t="inlineStr">
        <is>
          <t>2026-02-13 04:28</t>
        </is>
      </c>
      <c r="C32" s="165" t="inlineStr">
        <is>
          <t>Fatima Hall</t>
        </is>
      </c>
      <c r="D32" s="158" t="inlineStr">
        <is>
          <t>fatima@victorymar.com</t>
        </is>
      </c>
      <c r="E32" s="158" t="inlineStr">
        <is>
          <t>(598) 924-7757</t>
        </is>
      </c>
      <c r="F32" s="166" t="inlineStr">
        <is>
          <t>Victory Martial Arts</t>
        </is>
      </c>
      <c r="G32" s="158" t="inlineStr">
        <is>
          <t>Youth Sports Program</t>
        </is>
      </c>
      <c r="H32" s="166" t="inlineStr">
        <is>
          <t>Military / Veteran</t>
        </is>
      </c>
      <c r="I32" s="158" t="inlineStr">
        <is>
          <t>Detroit</t>
        </is>
      </c>
      <c r="J32" s="167" t="inlineStr">
        <is>
          <t>MI</t>
        </is>
      </c>
      <c r="K32" s="168" t="inlineStr">
        <is>
          <t>🫚 Ginger Boost</t>
        </is>
      </c>
      <c r="L32" s="143" t="n">
        <v>500</v>
      </c>
      <c r="M32" s="169" t="n">
        <v>3</v>
      </c>
      <c r="N32" s="145" t="n">
        <v>1500</v>
      </c>
      <c r="O32" s="170" t="inlineStr">
        <is>
          <t>YOUTHFUEL</t>
        </is>
      </c>
      <c r="P32" s="159" t="n">
        <v>0.15</v>
      </c>
      <c r="Q32" s="171" t="n">
        <v>225</v>
      </c>
      <c r="R32" s="172" t="n">
        <v>1275</v>
      </c>
      <c r="S32" s="189" t="inlineStr">
        <is>
          <t>Shipped</t>
        </is>
      </c>
      <c r="T32" s="158" t="n"/>
    </row>
    <row r="33" ht="18" customHeight="1" s="114">
      <c r="A33" s="136" t="inlineStr">
        <is>
          <t>KC-WS-Y84F5KLMFJ2A</t>
        </is>
      </c>
      <c r="B33" s="161" t="inlineStr">
        <is>
          <t>2025-10-16 04:28</t>
        </is>
      </c>
      <c r="C33" s="174" t="inlineStr">
        <is>
          <t>Marcus Walker</t>
        </is>
      </c>
      <c r="D33" s="161" t="inlineStr">
        <is>
          <t>marcus@lincolnhig.com</t>
        </is>
      </c>
      <c r="E33" s="161" t="inlineStr">
        <is>
          <t>(674) 675-5548</t>
        </is>
      </c>
      <c r="F33" s="175" t="inlineStr">
        <is>
          <t>Lincoln High Athletics</t>
        </is>
      </c>
      <c r="G33" s="161" t="inlineStr">
        <is>
          <t>Online Reseller</t>
        </is>
      </c>
      <c r="H33" s="175" t="inlineStr">
        <is>
          <t>Military / Veteran</t>
        </is>
      </c>
      <c r="I33" s="161" t="inlineStr">
        <is>
          <t>New York</t>
        </is>
      </c>
      <c r="J33" s="164" t="inlineStr">
        <is>
          <t>NY</t>
        </is>
      </c>
      <c r="K33" s="176" t="inlineStr">
        <is>
          <t>⚡ B-Vitamin Surge</t>
        </is>
      </c>
      <c r="L33" s="138" t="n">
        <v>1000</v>
      </c>
      <c r="M33" s="177" t="n">
        <v>3</v>
      </c>
      <c r="N33" s="140" t="n">
        <v>3000</v>
      </c>
      <c r="O33" s="178" t="inlineStr">
        <is>
          <t>SCHOOL15</t>
        </is>
      </c>
      <c r="P33" s="162" t="n">
        <v>0.15</v>
      </c>
      <c r="Q33" s="179" t="n">
        <v>450</v>
      </c>
      <c r="R33" s="180" t="n">
        <v>2550</v>
      </c>
      <c r="S33" s="184" t="inlineStr">
        <is>
          <t>Paid</t>
        </is>
      </c>
      <c r="T33" s="161" t="n"/>
    </row>
    <row r="34" ht="18" customHeight="1" s="114">
      <c r="A34" s="141" t="inlineStr">
        <is>
          <t>KC-WS-YF8HEY91TLHC</t>
        </is>
      </c>
      <c r="B34" s="158" t="inlineStr">
        <is>
          <t>2026-01-07 04:28</t>
        </is>
      </c>
      <c r="C34" s="165" t="inlineStr">
        <is>
          <t>Carlos Hall</t>
        </is>
      </c>
      <c r="D34" s="158" t="inlineStr">
        <is>
          <t>carlos@peakperfor.com</t>
        </is>
      </c>
      <c r="E34" s="158" t="inlineStr">
        <is>
          <t>(843) 977-5052</t>
        </is>
      </c>
      <c r="F34" s="166" t="inlineStr">
        <is>
          <t>Peak Performance Fitness</t>
        </is>
      </c>
      <c r="G34" s="158" t="inlineStr">
        <is>
          <t>Personal Training Business</t>
        </is>
      </c>
      <c r="H34" s="166" t="inlineStr">
        <is>
          <t>School / Program</t>
        </is>
      </c>
      <c r="I34" s="158" t="inlineStr">
        <is>
          <t>Cleveland</t>
        </is>
      </c>
      <c r="J34" s="167" t="inlineStr">
        <is>
          <t>OH</t>
        </is>
      </c>
      <c r="K34" s="168" t="inlineStr">
        <is>
          <t>⚡ B-Vitamin Surge</t>
        </is>
      </c>
      <c r="L34" s="143" t="n">
        <v>500</v>
      </c>
      <c r="M34" s="169" t="n">
        <v>3</v>
      </c>
      <c r="N34" s="145" t="n">
        <v>1500</v>
      </c>
      <c r="O34" s="170" t="inlineStr">
        <is>
          <t>AFTERSCHOOL</t>
        </is>
      </c>
      <c r="P34" s="159" t="n">
        <v>0.15</v>
      </c>
      <c r="Q34" s="171" t="n">
        <v>225</v>
      </c>
      <c r="R34" s="172" t="n">
        <v>1275</v>
      </c>
      <c r="S34" s="184" t="inlineStr">
        <is>
          <t>Paid</t>
        </is>
      </c>
      <c r="T34" s="158" t="inlineStr">
        <is>
          <t>Ship ASAP</t>
        </is>
      </c>
    </row>
    <row r="35" ht="18" customHeight="1" s="114">
      <c r="A35" s="136" t="inlineStr">
        <is>
          <t>KC-WS-WN0JMAGUWVXL</t>
        </is>
      </c>
      <c r="B35" s="161" t="inlineStr">
        <is>
          <t>2026-01-21 04:28</t>
        </is>
      </c>
      <c r="C35" s="174" t="inlineStr">
        <is>
          <t>Christian Johnson</t>
        </is>
      </c>
      <c r="D35" s="161" t="inlineStr">
        <is>
          <t>christian@nutriprosu.com</t>
        </is>
      </c>
      <c r="E35" s="161" t="inlineStr">
        <is>
          <t>(837) 346-8884</t>
        </is>
      </c>
      <c r="F35" s="175" t="inlineStr">
        <is>
          <t>NutriPro Supply</t>
        </is>
      </c>
      <c r="G35" s="161" t="inlineStr">
        <is>
          <t>Military / VA Program</t>
        </is>
      </c>
      <c r="H35" s="175" t="inlineStr">
        <is>
          <t>School / Program</t>
        </is>
      </c>
      <c r="I35" s="161" t="inlineStr">
        <is>
          <t>Chicago</t>
        </is>
      </c>
      <c r="J35" s="164" t="inlineStr">
        <is>
          <t>IL</t>
        </is>
      </c>
      <c r="K35" s="176" t="inlineStr">
        <is>
          <t>🍯 Original Honey Blend</t>
        </is>
      </c>
      <c r="L35" s="138" t="n">
        <v>500</v>
      </c>
      <c r="M35" s="177" t="n">
        <v>3</v>
      </c>
      <c r="N35" s="140" t="n">
        <v>1500</v>
      </c>
      <c r="O35" s="178" t="inlineStr">
        <is>
          <t>BFCM10</t>
        </is>
      </c>
      <c r="P35" s="162" t="n">
        <v>0.1</v>
      </c>
      <c r="Q35" s="179" t="n">
        <v>150</v>
      </c>
      <c r="R35" s="180" t="n">
        <v>1350</v>
      </c>
      <c r="S35" s="181" t="inlineStr">
        <is>
          <t>Pending Review</t>
        </is>
      </c>
      <c r="T35" s="161" t="n"/>
    </row>
    <row r="36" ht="18" customHeight="1" s="114">
      <c r="A36" s="141" t="inlineStr">
        <is>
          <t>KC-WS-KQQDB7YGMAP8</t>
        </is>
      </c>
      <c r="B36" s="158" t="inlineStr">
        <is>
          <t>2026-02-18 04:28</t>
        </is>
      </c>
      <c r="C36" s="165" t="inlineStr">
        <is>
          <t>Malik Clark</t>
        </is>
      </c>
      <c r="D36" s="158" t="inlineStr">
        <is>
          <t>malik@lincolnhig.com</t>
        </is>
      </c>
      <c r="E36" s="158" t="inlineStr">
        <is>
          <t>(946) 400-3070</t>
        </is>
      </c>
      <c r="F36" s="166" t="inlineStr">
        <is>
          <t>Lincoln High Athletics</t>
        </is>
      </c>
      <c r="G36" s="158" t="inlineStr">
        <is>
          <t>Wrestling / MMA Academy</t>
        </is>
      </c>
      <c r="H36" s="166" t="inlineStr">
        <is>
          <t>Personal / Team</t>
        </is>
      </c>
      <c r="I36" s="158" t="inlineStr">
        <is>
          <t>Miami</t>
        </is>
      </c>
      <c r="J36" s="167" t="inlineStr">
        <is>
          <t>FL</t>
        </is>
      </c>
      <c r="K36" s="168" t="inlineStr">
        <is>
          <t>⚡ B-Vitamin Surge</t>
        </is>
      </c>
      <c r="L36" s="143" t="n">
        <v>3000</v>
      </c>
      <c r="M36" s="169" t="n">
        <v>3</v>
      </c>
      <c r="N36" s="145" t="n">
        <v>9000</v>
      </c>
      <c r="O36" s="170" t="inlineStr">
        <is>
          <t>KIDS15</t>
        </is>
      </c>
      <c r="P36" s="159" t="n">
        <v>0.15</v>
      </c>
      <c r="Q36" s="171" t="n">
        <v>1350</v>
      </c>
      <c r="R36" s="172" t="n">
        <v>7650</v>
      </c>
      <c r="S36" s="189" t="inlineStr">
        <is>
          <t>Shipped</t>
        </is>
      </c>
      <c r="T36" s="158" t="n"/>
    </row>
    <row r="37" ht="18" customHeight="1" s="114">
      <c r="A37" s="136" t="inlineStr">
        <is>
          <t>KC-WS-JM981BHVHSAQ</t>
        </is>
      </c>
      <c r="B37" s="161" t="inlineStr">
        <is>
          <t>2025-11-04 04:28</t>
        </is>
      </c>
      <c r="C37" s="174" t="inlineStr">
        <is>
          <t>Naomi Davis</t>
        </is>
      </c>
      <c r="D37" s="161" t="inlineStr">
        <is>
          <t>naomi@alphatrain.com</t>
        </is>
      </c>
      <c r="E37" s="161" t="inlineStr">
        <is>
          <t>(560) 575-6681</t>
        </is>
      </c>
      <c r="F37" s="175" t="inlineStr">
        <is>
          <t>Alpha Training Center</t>
        </is>
      </c>
      <c r="G37" s="161" t="inlineStr">
        <is>
          <t>Military / VA Program</t>
        </is>
      </c>
      <c r="H37" s="175" t="inlineStr">
        <is>
          <t>School / Program</t>
        </is>
      </c>
      <c r="I37" s="161" t="inlineStr">
        <is>
          <t>Cleveland</t>
        </is>
      </c>
      <c r="J37" s="164" t="inlineStr">
        <is>
          <t>OH</t>
        </is>
      </c>
      <c r="K37" s="176" t="inlineStr">
        <is>
          <t>🍯 Original Honey Blend</t>
        </is>
      </c>
      <c r="L37" s="138" t="n">
        <v>500</v>
      </c>
      <c r="M37" s="177" t="n">
        <v>3</v>
      </c>
      <c r="N37" s="140" t="n">
        <v>1500</v>
      </c>
      <c r="O37" s="178" t="inlineStr">
        <is>
          <t>SCHOOL15</t>
        </is>
      </c>
      <c r="P37" s="162" t="n">
        <v>0.15</v>
      </c>
      <c r="Q37" s="179" t="n">
        <v>225</v>
      </c>
      <c r="R37" s="180" t="n">
        <v>1275</v>
      </c>
      <c r="S37" s="187" t="inlineStr">
        <is>
          <t>Delivered</t>
        </is>
      </c>
      <c r="T37" s="161" t="inlineStr">
        <is>
          <t>Mixed flavors OK</t>
        </is>
      </c>
    </row>
    <row r="38" ht="18" customHeight="1" s="114">
      <c r="A38" s="141" t="inlineStr">
        <is>
          <t>KC-WS-7H56K3NGYMKX</t>
        </is>
      </c>
      <c r="B38" s="158" t="inlineStr">
        <is>
          <t>2025-09-21 04:28</t>
        </is>
      </c>
      <c r="C38" s="165" t="inlineStr">
        <is>
          <t>Jayla Young</t>
        </is>
      </c>
      <c r="D38" s="158" t="inlineStr">
        <is>
          <t>jayla@combatspor.com</t>
        </is>
      </c>
      <c r="E38" s="158" t="inlineStr">
        <is>
          <t>(706) 214-8692</t>
        </is>
      </c>
      <c r="F38" s="166" t="inlineStr">
        <is>
          <t>Combat Sports Nutrition</t>
        </is>
      </c>
      <c r="G38" s="158" t="inlineStr">
        <is>
          <t>Gym / Fitness Center</t>
        </is>
      </c>
      <c r="H38" s="166" t="inlineStr">
        <is>
          <t>Military / Veteran</t>
        </is>
      </c>
      <c r="I38" s="158" t="inlineStr">
        <is>
          <t>Chicago</t>
        </is>
      </c>
      <c r="J38" s="167" t="inlineStr">
        <is>
          <t>IL</t>
        </is>
      </c>
      <c r="K38" s="168" t="inlineStr">
        <is>
          <t>🍯 Original Honey Blend</t>
        </is>
      </c>
      <c r="L38" s="143" t="n">
        <v>5000</v>
      </c>
      <c r="M38" s="169" t="n">
        <v>3</v>
      </c>
      <c r="N38" s="145" t="n">
        <v>15000</v>
      </c>
      <c r="O38" s="158" t="inlineStr">
        <is>
          <t>-</t>
        </is>
      </c>
      <c r="P38" s="182" t="n">
        <v>0</v>
      </c>
      <c r="Q38" s="183" t="n">
        <v>0</v>
      </c>
      <c r="R38" s="172" t="n">
        <v>15000</v>
      </c>
      <c r="S38" s="187" t="inlineStr">
        <is>
          <t>Delivered</t>
        </is>
      </c>
      <c r="T38" s="158" t="n"/>
    </row>
    <row r="39" ht="18" customHeight="1" s="114">
      <c r="A39" s="136" t="inlineStr">
        <is>
          <t>KC-WS-ZGMVY8767JG3</t>
        </is>
      </c>
      <c r="B39" s="161" t="inlineStr">
        <is>
          <t>2025-09-16 04:28</t>
        </is>
      </c>
      <c r="C39" s="174" t="inlineStr">
        <is>
          <t>Simone Williams</t>
        </is>
      </c>
      <c r="D39" s="161" t="inlineStr">
        <is>
          <t>simone@irongymath.com</t>
        </is>
      </c>
      <c r="E39" s="161" t="inlineStr">
        <is>
          <t>(516) 751-2290</t>
        </is>
      </c>
      <c r="F39" s="175" t="inlineStr">
        <is>
          <t>Iron Gym Athletics LLC</t>
        </is>
      </c>
      <c r="G39" s="161" t="inlineStr">
        <is>
          <t>Wrestling / MMA Academy</t>
        </is>
      </c>
      <c r="H39" s="175" t="inlineStr">
        <is>
          <t>Personal / Team</t>
        </is>
      </c>
      <c r="I39" s="161" t="inlineStr">
        <is>
          <t>Atlanta</t>
        </is>
      </c>
      <c r="J39" s="164" t="inlineStr">
        <is>
          <t>GA</t>
        </is>
      </c>
      <c r="K39" s="176" t="inlineStr">
        <is>
          <t>⚡ B-Vitamin Surge</t>
        </is>
      </c>
      <c r="L39" s="138" t="n">
        <v>1500</v>
      </c>
      <c r="M39" s="177" t="n">
        <v>3</v>
      </c>
      <c r="N39" s="140" t="n">
        <v>4500</v>
      </c>
      <c r="O39" s="178" t="inlineStr">
        <is>
          <t>BFCM10</t>
        </is>
      </c>
      <c r="P39" s="162" t="n">
        <v>0.1</v>
      </c>
      <c r="Q39" s="179" t="n">
        <v>450</v>
      </c>
      <c r="R39" s="180" t="n">
        <v>4050</v>
      </c>
      <c r="S39" s="187" t="inlineStr">
        <is>
          <t>Delivered</t>
        </is>
      </c>
      <c r="T39" s="161" t="n"/>
    </row>
    <row r="40" ht="18" customHeight="1" s="114">
      <c r="A40" s="141" t="inlineStr">
        <is>
          <t>KC-WS-4BEJUGX5LNR2</t>
        </is>
      </c>
      <c r="B40" s="158" t="inlineStr">
        <is>
          <t>2026-01-21 04:28</t>
        </is>
      </c>
      <c r="C40" s="165" t="inlineStr">
        <is>
          <t>Sofia King</t>
        </is>
      </c>
      <c r="D40" s="158" t="inlineStr">
        <is>
          <t>sofia@riversidew.com</t>
        </is>
      </c>
      <c r="E40" s="158" t="inlineStr">
        <is>
          <t>(927) 793-1375</t>
        </is>
      </c>
      <c r="F40" s="166" t="inlineStr">
        <is>
          <t>Riverside Wrestling Club</t>
        </is>
      </c>
      <c r="G40" s="158" t="inlineStr">
        <is>
          <t>Gym / Fitness Center</t>
        </is>
      </c>
      <c r="H40" s="166" t="inlineStr">
        <is>
          <t>School / Program</t>
        </is>
      </c>
      <c r="I40" s="158" t="inlineStr">
        <is>
          <t>Chicago</t>
        </is>
      </c>
      <c r="J40" s="167" t="inlineStr">
        <is>
          <t>IL</t>
        </is>
      </c>
      <c r="K40" s="168" t="inlineStr">
        <is>
          <t>🫚 Ginger Boost</t>
        </is>
      </c>
      <c r="L40" s="143" t="n">
        <v>2000</v>
      </c>
      <c r="M40" s="169" t="n">
        <v>3</v>
      </c>
      <c r="N40" s="145" t="n">
        <v>6000</v>
      </c>
      <c r="O40" s="170" t="inlineStr">
        <is>
          <t>MILITARY20</t>
        </is>
      </c>
      <c r="P40" s="159" t="n">
        <v>0.2</v>
      </c>
      <c r="Q40" s="171" t="n">
        <v>1200</v>
      </c>
      <c r="R40" s="172" t="n">
        <v>4800</v>
      </c>
      <c r="S40" s="188" t="inlineStr">
        <is>
          <t>Cancelled</t>
        </is>
      </c>
      <c r="T40" s="158" t="n"/>
    </row>
    <row r="41" ht="18" customHeight="1" s="114">
      <c r="A41" s="136" t="inlineStr">
        <is>
          <t>KC-WS-UI7CJ73DUAVG</t>
        </is>
      </c>
      <c r="B41" s="161" t="inlineStr">
        <is>
          <t>2025-10-31 04:28</t>
        </is>
      </c>
      <c r="C41" s="174" t="inlineStr">
        <is>
          <t>Maya Wilson</t>
        </is>
      </c>
      <c r="D41" s="161" t="inlineStr">
        <is>
          <t>maya@eastsidebo.com</t>
        </is>
      </c>
      <c r="E41" s="161" t="inlineStr">
        <is>
          <t>(593) 568-3289</t>
        </is>
      </c>
      <c r="F41" s="175" t="inlineStr">
        <is>
          <t>East Side Boxing</t>
        </is>
      </c>
      <c r="G41" s="161" t="inlineStr">
        <is>
          <t>School / University</t>
        </is>
      </c>
      <c r="H41" s="175" t="inlineStr">
        <is>
          <t>School / Program</t>
        </is>
      </c>
      <c r="I41" s="161" t="inlineStr">
        <is>
          <t>Houston</t>
        </is>
      </c>
      <c r="J41" s="164" t="inlineStr">
        <is>
          <t>TX</t>
        </is>
      </c>
      <c r="K41" s="176" t="inlineStr">
        <is>
          <t>🍯 Original Honey Blend</t>
        </is>
      </c>
      <c r="L41" s="138" t="n">
        <v>500</v>
      </c>
      <c r="M41" s="177" t="n">
        <v>3</v>
      </c>
      <c r="N41" s="140" t="n">
        <v>1500</v>
      </c>
      <c r="O41" s="178" t="inlineStr">
        <is>
          <t>YOUTHFUEL</t>
        </is>
      </c>
      <c r="P41" s="162" t="n">
        <v>0.15</v>
      </c>
      <c r="Q41" s="179" t="n">
        <v>225</v>
      </c>
      <c r="R41" s="180" t="n">
        <v>1275</v>
      </c>
      <c r="S41" s="189" t="inlineStr">
        <is>
          <t>Shipped</t>
        </is>
      </c>
      <c r="T41" s="161" t="inlineStr">
        <is>
          <t>School PO attached</t>
        </is>
      </c>
    </row>
    <row r="42" ht="18" customHeight="1" s="114">
      <c r="A42" s="141" t="inlineStr">
        <is>
          <t>KC-WS-BHMQ0DZBBH5P</t>
        </is>
      </c>
      <c r="B42" s="158" t="inlineStr">
        <is>
          <t>2026-02-15 04:28</t>
        </is>
      </c>
      <c r="C42" s="165" t="inlineStr">
        <is>
          <t>Brianna Smith</t>
        </is>
      </c>
      <c r="D42" s="158" t="inlineStr">
        <is>
          <t>brianna@steelcityf.com</t>
        </is>
      </c>
      <c r="E42" s="158" t="inlineStr">
        <is>
          <t>(289) 373-1257</t>
        </is>
      </c>
      <c r="F42" s="166" t="inlineStr">
        <is>
          <t>Steel City Fitness</t>
        </is>
      </c>
      <c r="G42" s="158" t="inlineStr">
        <is>
          <t>School / University</t>
        </is>
      </c>
      <c r="H42" s="166" t="inlineStr">
        <is>
          <t>Reseller / Gym</t>
        </is>
      </c>
      <c r="I42" s="158" t="inlineStr">
        <is>
          <t>Los Angeles</t>
        </is>
      </c>
      <c r="J42" s="167" t="inlineStr">
        <is>
          <t>CA</t>
        </is>
      </c>
      <c r="K42" s="168" t="inlineStr">
        <is>
          <t>🫚 Ginger Boost</t>
        </is>
      </c>
      <c r="L42" s="143" t="n">
        <v>1000</v>
      </c>
      <c r="M42" s="169" t="n">
        <v>3</v>
      </c>
      <c r="N42" s="145" t="n">
        <v>3000</v>
      </c>
      <c r="O42" s="170" t="inlineStr">
        <is>
          <t>HOLIDAY10</t>
        </is>
      </c>
      <c r="P42" s="159" t="n">
        <v>0.1</v>
      </c>
      <c r="Q42" s="171" t="n">
        <v>300</v>
      </c>
      <c r="R42" s="172" t="n">
        <v>2700</v>
      </c>
      <c r="S42" s="184" t="inlineStr">
        <is>
          <t>Paid</t>
        </is>
      </c>
      <c r="T42" s="158" t="n"/>
    </row>
    <row r="43" ht="18" customHeight="1" s="114">
      <c r="A43" s="136" t="inlineStr">
        <is>
          <t>KC-WS-NNQVPQSLCGL3</t>
        </is>
      </c>
      <c r="B43" s="161" t="inlineStr">
        <is>
          <t>2025-10-03 04:28</t>
        </is>
      </c>
      <c r="C43" s="174" t="inlineStr">
        <is>
          <t>Tyrese Jackson</t>
        </is>
      </c>
      <c r="D43" s="161" t="inlineStr">
        <is>
          <t>tyrese@fuelupnutr.com</t>
        </is>
      </c>
      <c r="E43" s="161" t="inlineStr">
        <is>
          <t>(243) 853-4545</t>
        </is>
      </c>
      <c r="F43" s="175" t="inlineStr">
        <is>
          <t>FuelUp Nutrition</t>
        </is>
      </c>
      <c r="G43" s="161" t="inlineStr">
        <is>
          <t>School / University</t>
        </is>
      </c>
      <c r="H43" s="175" t="inlineStr">
        <is>
          <t>Reseller / Gym</t>
        </is>
      </c>
      <c r="I43" s="161" t="inlineStr">
        <is>
          <t>New York</t>
        </is>
      </c>
      <c r="J43" s="164" t="inlineStr">
        <is>
          <t>NY</t>
        </is>
      </c>
      <c r="K43" s="176" t="inlineStr">
        <is>
          <t>⚡ B-Vitamin Surge</t>
        </is>
      </c>
      <c r="L43" s="138" t="n">
        <v>1000</v>
      </c>
      <c r="M43" s="177" t="n">
        <v>3</v>
      </c>
      <c r="N43" s="140" t="n">
        <v>3000</v>
      </c>
      <c r="O43" s="178" t="inlineStr">
        <is>
          <t>HOLIDAY10</t>
        </is>
      </c>
      <c r="P43" s="162" t="n">
        <v>0.1</v>
      </c>
      <c r="Q43" s="179" t="n">
        <v>300</v>
      </c>
      <c r="R43" s="180" t="n">
        <v>2700</v>
      </c>
      <c r="S43" s="187" t="inlineStr">
        <is>
          <t>Delivered</t>
        </is>
      </c>
      <c r="T43" s="161" t="inlineStr">
        <is>
          <t>Invoice needed</t>
        </is>
      </c>
    </row>
    <row r="44" ht="21.75" customHeight="1" s="114">
      <c r="A44" s="190" t="inlineStr">
        <is>
          <t>TOTALS</t>
        </is>
      </c>
      <c r="B44" s="191" t="n"/>
      <c r="C44" s="191" t="n"/>
      <c r="D44" s="191" t="n"/>
      <c r="E44" s="191" t="n"/>
      <c r="F44" s="191" t="n"/>
      <c r="G44" s="191" t="n"/>
      <c r="H44" s="191" t="n"/>
      <c r="I44" s="191" t="n"/>
      <c r="J44" s="191" t="n"/>
      <c r="K44" s="191" t="n"/>
      <c r="L44" s="192">
        <f>SUM(L4:L43)</f>
        <v/>
      </c>
      <c r="M44" s="191" t="n"/>
      <c r="N44" s="193">
        <f>SUM(N4:N43)</f>
        <v/>
      </c>
      <c r="O44" s="191" t="n"/>
      <c r="P44" s="191" t="n"/>
      <c r="Q44" s="193">
        <f>SUM(Q4:Q43)</f>
        <v/>
      </c>
      <c r="R44" s="193">
        <f>SUM(R4:R43)</f>
        <v/>
      </c>
      <c r="S44" s="191" t="n"/>
      <c r="T44" s="191" t="n"/>
    </row>
    <row r="45" ht="18" customHeight="1" s="114">
      <c r="A45" s="194" t="inlineStr">
        <is>
          <t>KC-WS-TEST001</t>
        </is>
      </c>
      <c r="B45" s="195" t="inlineStr">
        <is>
          <t>2026-03-06 10:00</t>
        </is>
      </c>
      <c r="C45" s="196" t="inlineStr">
        <is>
          <t>Test Buyer</t>
        </is>
      </c>
      <c r="D45" s="195" t="inlineStr">
        <is>
          <t>test@gymtest.com</t>
        </is>
      </c>
      <c r="E45" s="195" t="inlineStr">
        <is>
          <t>(212) 555-1234</t>
        </is>
      </c>
      <c r="F45" s="197" t="inlineStr">
        <is>
          <t>Test Gym LLC</t>
        </is>
      </c>
      <c r="G45" s="195" t="inlineStr">
        <is>
          <t>Gym / Fitness Center</t>
        </is>
      </c>
      <c r="H45" s="197" t="inlineStr">
        <is>
          <t>Reseller / Gym</t>
        </is>
      </c>
      <c r="I45" s="195" t="inlineStr">
        <is>
          <t>New York</t>
        </is>
      </c>
      <c r="J45" s="198" t="inlineStr">
        <is>
          <t>NY</t>
        </is>
      </c>
      <c r="K45" s="199" t="inlineStr">
        <is>
          <t>🍯 Original Honey Blend</t>
        </is>
      </c>
      <c r="L45" s="200" t="n">
        <v>500</v>
      </c>
      <c r="M45" s="201" t="n">
        <v>3</v>
      </c>
      <c r="N45" s="202" t="n">
        <v>1500</v>
      </c>
      <c r="O45" s="195" t="inlineStr">
        <is>
          <t>-</t>
        </is>
      </c>
      <c r="P45" s="203" t="n">
        <v>0</v>
      </c>
      <c r="Q45" s="204" t="n">
        <v>0</v>
      </c>
      <c r="R45" s="205" t="n">
        <v>1500</v>
      </c>
      <c r="S45" s="206" t="inlineStr">
        <is>
          <t>Pending Review</t>
        </is>
      </c>
      <c r="T45" s="195" t="inlineStr">
        <is>
          <t>Test order</t>
        </is>
      </c>
    </row>
    <row r="46" ht="18" customHeight="1" s="114">
      <c r="A46" s="245" t="inlineStr">
        <is>
          <t>KC-WS-LIVETEST</t>
        </is>
      </c>
      <c r="B46" s="243" t="inlineStr">
        <is>
          <t>2026-03-06 05:15</t>
        </is>
      </c>
      <c r="C46" s="246" t="inlineStr">
        <is>
          <t>Live Test Buyer</t>
        </is>
      </c>
      <c r="D46" s="243" t="inlineStr">
        <is>
          <t>live@irongymathletics.com</t>
        </is>
      </c>
      <c r="E46" s="243" t="inlineStr">
        <is>
          <t>(646) 555-9000</t>
        </is>
      </c>
      <c r="F46" s="242" t="inlineStr">
        <is>
          <t>Iron Gym Athletics LLC</t>
        </is>
      </c>
      <c r="G46" s="243" t="inlineStr">
        <is>
          <t>Gym / Fitness Center</t>
        </is>
      </c>
      <c r="H46" s="242" t="inlineStr">
        <is>
          <t>Reseller / Gym</t>
        </is>
      </c>
      <c r="I46" s="243" t="inlineStr">
        <is>
          <t>Brooklyn</t>
        </is>
      </c>
      <c r="J46" s="241" t="inlineStr">
        <is>
          <t>NY</t>
        </is>
      </c>
      <c r="K46" s="247" t="inlineStr">
        <is>
          <t>🫚 Ginger Boost</t>
        </is>
      </c>
      <c r="L46" s="248" t="n">
        <v>1000</v>
      </c>
      <c r="M46" s="249" t="n">
        <v>3</v>
      </c>
      <c r="N46" s="250" t="n">
        <v>3000</v>
      </c>
      <c r="O46" s="251" t="inlineStr">
        <is>
          <t>VETERAN20</t>
        </is>
      </c>
      <c r="P46" s="252" t="n">
        <v>0.2</v>
      </c>
      <c r="Q46" s="253" t="n">
        <v>600</v>
      </c>
      <c r="R46" s="254" t="n">
        <v>2400</v>
      </c>
      <c r="S46" s="206" t="inlineStr">
        <is>
          <t>Pending Review</t>
        </is>
      </c>
      <c r="T46" s="243" t="inlineStr">
        <is>
          <t>Live integration test</t>
        </is>
      </c>
    </row>
    <row r="47"/>
    <row r="48"/>
    <row r="49"/>
    <row r="50"/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5A623"/>
    <outlinePr summaryBelow="1" summaryRight="1"/>
    <pageSetUpPr fitToPage="0"/>
  </sheetPr>
  <dimension ref="A1: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3" min="1" max="1"/>
    <col width="8" customWidth="1" style="113" min="2" max="2"/>
    <col width="24" customWidth="1" style="113" min="3" max="3"/>
    <col width="26" customWidth="1" style="113" min="4" max="4"/>
    <col width="32" customWidth="1" style="113" min="5" max="5"/>
    <col width="24" customWidth="1" style="113" min="6" max="6"/>
    <col width="14" customWidth="1" style="113" min="7" max="7"/>
    <col width="10" customWidth="1" style="113" min="8" max="8"/>
  </cols>
  <sheetData>
    <row r="1" ht="42" customHeight="1" s="114">
      <c r="A1" s="115" t="inlineStr">
        <is>
          <t>KC  KILACOMBS - PRODUCT CATALOG</t>
        </is>
      </c>
    </row>
    <row r="2" ht="18" customHeight="1" s="114">
      <c r="A2" s="116" t="inlineStr">
        <is>
          <t>One product  |  Three variants  |  Wholesale only</t>
        </is>
      </c>
    </row>
    <row r="4" ht="25.5" customHeight="1" s="114">
      <c r="A4" s="134" t="inlineStr">
        <is>
          <t>PRODUCT DETAILS</t>
        </is>
      </c>
    </row>
    <row r="5" ht="19.5" customHeight="1" s="114">
      <c r="A5" s="207" t="inlineStr">
        <is>
          <t>Product Name</t>
        </is>
      </c>
      <c r="B5" s="208" t="inlineStr">
        <is>
          <t>KilaCombs Energy Pack</t>
        </is>
      </c>
      <c r="C5" s="118" t="n"/>
      <c r="D5" s="118" t="n"/>
    </row>
    <row r="6" ht="19.5" customHeight="1" s="114">
      <c r="A6" s="207" t="inlineStr">
        <is>
          <t>Price Per Pack</t>
        </is>
      </c>
      <c r="B6" s="209" t="n">
        <v>3</v>
      </c>
      <c r="C6" s="118" t="n"/>
      <c r="D6" s="118" t="n"/>
    </row>
    <row r="7" ht="19.5" customHeight="1" s="114">
      <c r="A7" s="207" t="inlineStr">
        <is>
          <t>Minimum Order (packs)</t>
        </is>
      </c>
      <c r="B7" s="210" t="n">
        <v>500</v>
      </c>
      <c r="C7" s="118" t="n"/>
      <c r="D7" s="118" t="n"/>
    </row>
    <row r="8" ht="19.5" customHeight="1" s="114">
      <c r="A8" s="207" t="inlineStr">
        <is>
          <t>Step Increment (packs)</t>
        </is>
      </c>
      <c r="B8" s="210" t="n">
        <v>500</v>
      </c>
      <c r="C8" s="118" t="n"/>
      <c r="D8" s="118" t="n"/>
    </row>
    <row r="9" ht="19.5" customHeight="1" s="114">
      <c r="A9" s="207" t="inlineStr">
        <is>
          <t>Minimum Order Value</t>
        </is>
      </c>
      <c r="B9" s="211" t="n">
        <v>1500</v>
      </c>
      <c r="C9" s="118" t="n"/>
      <c r="D9" s="118" t="n"/>
    </row>
    <row r="10" ht="19.5" customHeight="1" s="114">
      <c r="A10" s="207" t="inlineStr">
        <is>
          <t>Sale Type</t>
        </is>
      </c>
      <c r="B10" s="208" t="inlineStr">
        <is>
          <t>Wholesale B2B Only</t>
        </is>
      </c>
      <c r="C10" s="118" t="n"/>
      <c r="D10" s="118" t="n"/>
    </row>
    <row r="11" ht="19.5" customHeight="1" s="114">
      <c r="A11" s="207" t="inlineStr">
        <is>
          <t>Target Buyers</t>
        </is>
      </c>
      <c r="B11" s="208" t="inlineStr">
        <is>
          <t>Gyms | Schools | Military | Resellers | Personal Bulk</t>
        </is>
      </c>
      <c r="C11" s="118" t="n"/>
      <c r="D11" s="118" t="n"/>
    </row>
    <row r="12" ht="19.5" customHeight="1" s="114">
      <c r="A12" s="207" t="inlineStr">
        <is>
          <t>Core Ingredients</t>
        </is>
      </c>
      <c r="B12" s="208" t="inlineStr">
        <is>
          <t>Raw Honey | B-Vitamins | Ginger Extract</t>
        </is>
      </c>
      <c r="C12" s="118" t="n"/>
      <c r="D12" s="118" t="n"/>
    </row>
    <row r="13" ht="19.5" customHeight="1" s="114">
      <c r="A13" s="207" t="inlineStr">
        <is>
          <t>Free Of</t>
        </is>
      </c>
      <c r="B13" s="208" t="inlineStr">
        <is>
          <t>Synthetic ingredients | Artificial sugars | GMOs</t>
        </is>
      </c>
      <c r="C13" s="118" t="n"/>
      <c r="D13" s="118" t="n"/>
    </row>
    <row r="15" ht="25.5" customHeight="1" s="114">
      <c r="A15" s="134" t="inlineStr">
        <is>
          <t>VARIANTS</t>
        </is>
      </c>
    </row>
    <row r="16" ht="19.5" customHeight="1" s="114">
      <c r="A16" s="135" t="inlineStr">
        <is>
          <t>Variant ID</t>
        </is>
      </c>
      <c r="B16" s="135" t="inlineStr">
        <is>
          <t>Icon</t>
        </is>
      </c>
      <c r="C16" s="135" t="inlineStr">
        <is>
          <t>Name</t>
        </is>
      </c>
      <c r="D16" s="135" t="inlineStr">
        <is>
          <t>Key Ingredient</t>
        </is>
      </c>
      <c r="E16" s="135" t="inlineStr">
        <is>
          <t>Core Benefit</t>
        </is>
      </c>
      <c r="F16" s="135" t="inlineStr">
        <is>
          <t>Target User</t>
        </is>
      </c>
      <c r="G16" s="135" t="inlineStr">
        <is>
          <t>SKU</t>
        </is>
      </c>
      <c r="H16" s="135" t="inlineStr">
        <is>
          <t>Status</t>
        </is>
      </c>
    </row>
    <row r="17" ht="21.75" customHeight="1" s="114">
      <c r="A17" s="141" t="inlineStr">
        <is>
          <t>original</t>
        </is>
      </c>
      <c r="B17" s="142" t="inlineStr">
        <is>
          <t>🍯</t>
        </is>
      </c>
      <c r="C17" s="166" t="inlineStr">
        <is>
          <t>Original Honey Blend</t>
        </is>
      </c>
      <c r="D17" s="166" t="inlineStr">
        <is>
          <t>Raw Honey</t>
        </is>
      </c>
      <c r="E17" s="166" t="inlineStr">
        <is>
          <t>Fast clean energy, no crash</t>
        </is>
      </c>
      <c r="F17" s="166" t="inlineStr">
        <is>
          <t>All athletes</t>
        </is>
      </c>
      <c r="G17" s="141" t="inlineStr">
        <is>
          <t>KC-EP-OG</t>
        </is>
      </c>
      <c r="H17" s="184" t="inlineStr">
        <is>
          <t>Active</t>
        </is>
      </c>
    </row>
    <row r="18" ht="21.75" customHeight="1" s="114">
      <c r="A18" s="141" t="inlineStr">
        <is>
          <t>ginger</t>
        </is>
      </c>
      <c r="B18" s="142" t="inlineStr">
        <is>
          <t>🫚</t>
        </is>
      </c>
      <c r="C18" s="166" t="inlineStr">
        <is>
          <t>Ginger Boost</t>
        </is>
      </c>
      <c r="D18" s="166" t="inlineStr">
        <is>
          <t>Honey + Ginger</t>
        </is>
      </c>
      <c r="E18" s="166" t="inlineStr">
        <is>
          <t>Recovery &amp; anti-inflammation</t>
        </is>
      </c>
      <c r="F18" s="166" t="inlineStr">
        <is>
          <t>Recovery athletes</t>
        </is>
      </c>
      <c r="G18" s="141" t="inlineStr">
        <is>
          <t>KC-EP-GB</t>
        </is>
      </c>
      <c r="H18" s="184" t="inlineStr">
        <is>
          <t>Active</t>
        </is>
      </c>
    </row>
    <row r="19" ht="21.75" customHeight="1" s="114">
      <c r="A19" s="141" t="inlineStr">
        <is>
          <t>bvitamin</t>
        </is>
      </c>
      <c r="B19" s="142" t="inlineStr">
        <is>
          <t>⚡</t>
        </is>
      </c>
      <c r="C19" s="166" t="inlineStr">
        <is>
          <t>B-Vitamin Surge</t>
        </is>
      </c>
      <c r="D19" s="166" t="inlineStr">
        <is>
          <t>Honey + B-Vits</t>
        </is>
      </c>
      <c r="E19" s="166" t="inlineStr">
        <is>
          <t>Peak mental &amp; physical output</t>
        </is>
      </c>
      <c r="F19" s="166" t="inlineStr">
        <is>
          <t>High-output athletes</t>
        </is>
      </c>
      <c r="G19" s="141" t="inlineStr">
        <is>
          <t>KC-EP-BV</t>
        </is>
      </c>
      <c r="H19" s="184" t="inlineStr">
        <is>
          <t>Active</t>
        </is>
      </c>
    </row>
    <row r="21" ht="25.5" customHeight="1" s="114">
      <c r="A21" s="134" t="inlineStr">
        <is>
          <t>BULK PRICING TABLE</t>
        </is>
      </c>
    </row>
    <row r="22" ht="19.5" customHeight="1" s="114">
      <c r="A22" s="135" t="inlineStr">
        <is>
          <t>Packs</t>
        </is>
      </c>
      <c r="B22" s="135" t="inlineStr">
        <is>
          <t>$/Pack</t>
        </is>
      </c>
      <c r="C22" s="135" t="inlineStr">
        <is>
          <t>Order Total</t>
        </is>
      </c>
      <c r="D22" s="135" t="inlineStr">
        <is>
          <t>Notes</t>
        </is>
      </c>
    </row>
    <row r="23" ht="18" customHeight="1" s="114">
      <c r="A23" s="138" t="n">
        <v>500</v>
      </c>
      <c r="B23" s="212" t="n">
        <v>3</v>
      </c>
      <c r="C23" s="180" t="n">
        <v>1500</v>
      </c>
      <c r="D23" s="161" t="inlineStr">
        <is>
          <t>Minimum order - $1,500 base</t>
        </is>
      </c>
    </row>
    <row r="24" ht="18" customHeight="1" s="114">
      <c r="A24" s="143" t="n">
        <v>1000</v>
      </c>
      <c r="B24" s="213" t="n">
        <v>3</v>
      </c>
      <c r="C24" s="172" t="n">
        <v>3000</v>
      </c>
      <c r="D24" s="158" t="n"/>
    </row>
    <row r="25" ht="18" customHeight="1" s="114">
      <c r="A25" s="138" t="n">
        <v>1500</v>
      </c>
      <c r="B25" s="212" t="n">
        <v>3</v>
      </c>
      <c r="C25" s="180" t="n">
        <v>4500</v>
      </c>
      <c r="D25" s="161" t="n"/>
    </row>
    <row r="26" ht="18" customHeight="1" s="114">
      <c r="A26" s="143" t="n">
        <v>2000</v>
      </c>
      <c r="B26" s="213" t="n">
        <v>3</v>
      </c>
      <c r="C26" s="172" t="n">
        <v>6000</v>
      </c>
      <c r="D26" s="158" t="n"/>
    </row>
    <row r="27" ht="18" customHeight="1" s="114">
      <c r="A27" s="138" t="n">
        <v>2500</v>
      </c>
      <c r="B27" s="212" t="n">
        <v>3</v>
      </c>
      <c r="C27" s="180" t="n">
        <v>7500</v>
      </c>
      <c r="D27" s="161" t="n"/>
    </row>
    <row r="28" ht="18" customHeight="1" s="114">
      <c r="A28" s="143" t="n">
        <v>3000</v>
      </c>
      <c r="B28" s="213" t="n">
        <v>3</v>
      </c>
      <c r="C28" s="172" t="n">
        <v>9000</v>
      </c>
      <c r="D28" s="158" t="n"/>
    </row>
    <row r="29" ht="18" customHeight="1" s="114">
      <c r="A29" s="138" t="n">
        <v>5000</v>
      </c>
      <c r="B29" s="212" t="n">
        <v>3</v>
      </c>
      <c r="C29" s="180" t="n">
        <v>15000</v>
      </c>
      <c r="D29" s="161" t="inlineStr">
        <is>
          <t>High-volume order</t>
        </is>
      </c>
    </row>
    <row r="30" ht="18" customHeight="1" s="114">
      <c r="A30" s="143" t="n">
        <v>10000</v>
      </c>
      <c r="B30" s="213" t="n">
        <v>3</v>
      </c>
      <c r="C30" s="172" t="n">
        <v>30000</v>
      </c>
      <c r="D30" s="158" t="inlineStr">
        <is>
          <t>Contact us for custom pricing</t>
        </is>
      </c>
    </row>
  </sheetData>
  <mergeCells count="14">
    <mergeCell ref="B10:D10"/>
    <mergeCell ref="B11:D11"/>
    <mergeCell ref="B5:D5"/>
    <mergeCell ref="A2:I2"/>
    <mergeCell ref="A15:H15"/>
    <mergeCell ref="A4:D4"/>
    <mergeCell ref="B8:D8"/>
    <mergeCell ref="A21:D21"/>
    <mergeCell ref="A1:I1"/>
    <mergeCell ref="B9:D9"/>
    <mergeCell ref="B13:D13"/>
    <mergeCell ref="B12:D12"/>
    <mergeCell ref="B7:D7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13" min="1" max="1"/>
    <col width="16" customWidth="1" style="113" min="2" max="2"/>
    <col width="12" customWidth="1" style="113" min="3" max="3"/>
    <col width="10" customWidth="1" style="113" min="4" max="4"/>
    <col width="12" customWidth="1" style="113" min="5" max="5"/>
    <col width="48" customWidth="1" style="113" min="6" max="6"/>
    <col width="8" customWidth="1" style="113" min="7" max="7"/>
    <col width="12" customWidth="1" style="113" min="8" max="8"/>
  </cols>
  <sheetData>
    <row r="1" ht="42" customHeight="1" s="114">
      <c r="A1" s="115" t="inlineStr">
        <is>
          <t>KC  KILACOMBS - DISCOUNT PROGRAMS</t>
        </is>
      </c>
    </row>
    <row r="2" ht="18" customHeight="1" s="114">
      <c r="A2" s="116" t="inlineStr">
        <is>
          <t>Schools | Veterans | Children's Programs | Holiday Promotions</t>
        </is>
      </c>
    </row>
    <row r="4" ht="25.5" customHeight="1" s="114">
      <c r="A4" s="134" t="inlineStr">
        <is>
          <t>ALL DISCOUNT CODES</t>
        </is>
      </c>
    </row>
    <row r="5" ht="19.5" customHeight="1" s="114">
      <c r="A5" s="135" t="inlineStr">
        <is>
          <t>Category</t>
        </is>
      </c>
      <c r="B5" s="135" t="inlineStr">
        <is>
          <t>Code</t>
        </is>
      </c>
      <c r="C5" s="135" t="inlineStr">
        <is>
          <t>Group</t>
        </is>
      </c>
      <c r="D5" s="135" t="inlineStr">
        <is>
          <t>Disc %</t>
        </is>
      </c>
      <c r="E5" s="135" t="inlineStr">
        <is>
          <t>Min Order</t>
        </is>
      </c>
      <c r="F5" s="135" t="inlineStr">
        <is>
          <t>Who Qualifies</t>
        </is>
      </c>
      <c r="G5" s="135" t="inlineStr">
        <is>
          <t>Active</t>
        </is>
      </c>
      <c r="H5" s="135" t="inlineStr">
        <is>
          <t>Times Used</t>
        </is>
      </c>
    </row>
    <row r="6" ht="18" customHeight="1" s="114">
      <c r="A6" s="214" t="inlineStr">
        <is>
          <t>Schools</t>
        </is>
      </c>
      <c r="B6" s="141" t="inlineStr">
        <is>
          <t>SCHOOL15</t>
        </is>
      </c>
      <c r="C6" s="158" t="inlineStr">
        <is>
          <t>school</t>
        </is>
      </c>
      <c r="D6" s="215" t="n">
        <v>0.15</v>
      </c>
      <c r="E6" s="216" t="n">
        <v>0</v>
      </c>
      <c r="F6" s="158" t="inlineStr">
        <is>
          <t>K-12 / Colleges / University Athletics</t>
        </is>
      </c>
      <c r="G6" s="184" t="inlineStr">
        <is>
          <t>YES</t>
        </is>
      </c>
      <c r="H6" s="160" t="n">
        <v>5</v>
      </c>
    </row>
    <row r="7" ht="18" customHeight="1" s="114">
      <c r="A7" s="214" t="inlineStr">
        <is>
          <t>Schools</t>
        </is>
      </c>
      <c r="B7" s="136" t="inlineStr">
        <is>
          <t>YOUTHFUEL</t>
        </is>
      </c>
      <c r="C7" s="161" t="inlineStr">
        <is>
          <t>school</t>
        </is>
      </c>
      <c r="D7" s="217" t="n">
        <v>0.15</v>
      </c>
      <c r="E7" s="218" t="n">
        <v>0</v>
      </c>
      <c r="F7" s="161" t="inlineStr">
        <is>
          <t>Youth Athletic Programs (school-affiliated)</t>
        </is>
      </c>
      <c r="G7" s="184" t="inlineStr">
        <is>
          <t>YES</t>
        </is>
      </c>
      <c r="H7" s="163" t="n">
        <v>4</v>
      </c>
    </row>
    <row r="8" ht="18" customHeight="1" s="114">
      <c r="A8" s="219" t="inlineStr">
        <is>
          <t>Veterans</t>
        </is>
      </c>
      <c r="B8" s="141" t="inlineStr">
        <is>
          <t>MILITARY20</t>
        </is>
      </c>
      <c r="C8" s="158" t="inlineStr">
        <is>
          <t>veteran</t>
        </is>
      </c>
      <c r="D8" s="215" t="n">
        <v>0.2</v>
      </c>
      <c r="E8" s="216" t="n">
        <v>0</v>
      </c>
      <c r="F8" s="158" t="inlineStr">
        <is>
          <t>Active Military Units &amp; Base Programs</t>
        </is>
      </c>
      <c r="G8" s="184" t="inlineStr">
        <is>
          <t>YES</t>
        </is>
      </c>
      <c r="H8" s="160" t="n">
        <v>4</v>
      </c>
    </row>
    <row r="9" ht="18" customHeight="1" s="114">
      <c r="A9" s="219" t="inlineStr">
        <is>
          <t>Veterans</t>
        </is>
      </c>
      <c r="B9" s="136" t="inlineStr">
        <is>
          <t>VETERAN20</t>
        </is>
      </c>
      <c r="C9" s="161" t="inlineStr">
        <is>
          <t>veteran</t>
        </is>
      </c>
      <c r="D9" s="217" t="n">
        <v>0.2</v>
      </c>
      <c r="E9" s="218" t="n">
        <v>0</v>
      </c>
      <c r="F9" s="161" t="inlineStr">
        <is>
          <t>Veteran-Owned Businesses &amp; VA Programs</t>
        </is>
      </c>
      <c r="G9" s="184" t="inlineStr">
        <is>
          <t>YES</t>
        </is>
      </c>
      <c r="H9" s="163" t="n">
        <v>3</v>
      </c>
    </row>
    <row r="10" ht="18" customHeight="1" s="114">
      <c r="A10" s="220" t="inlineStr">
        <is>
          <t>Children</t>
        </is>
      </c>
      <c r="B10" s="141" t="inlineStr">
        <is>
          <t>KIDS15</t>
        </is>
      </c>
      <c r="C10" s="158" t="inlineStr">
        <is>
          <t>kids</t>
        </is>
      </c>
      <c r="D10" s="215" t="n">
        <v>0.15</v>
      </c>
      <c r="E10" s="216" t="n">
        <v>0</v>
      </c>
      <c r="F10" s="158" t="inlineStr">
        <is>
          <t>Youth Sports Leagues &amp; Kids Athletic Programs</t>
        </is>
      </c>
      <c r="G10" s="184" t="inlineStr">
        <is>
          <t>YES</t>
        </is>
      </c>
      <c r="H10" s="160" t="n">
        <v>1</v>
      </c>
    </row>
    <row r="11" ht="18" customHeight="1" s="114">
      <c r="A11" s="220" t="inlineStr">
        <is>
          <t>Children</t>
        </is>
      </c>
      <c r="B11" s="136" t="inlineStr">
        <is>
          <t>AFTERSCHOOL</t>
        </is>
      </c>
      <c r="C11" s="161" t="inlineStr">
        <is>
          <t>kids</t>
        </is>
      </c>
      <c r="D11" s="217" t="n">
        <v>0.15</v>
      </c>
      <c r="E11" s="218" t="n">
        <v>0</v>
      </c>
      <c r="F11" s="161" t="inlineStr">
        <is>
          <t>After-School Nutrition &amp; Wellness Programs</t>
        </is>
      </c>
      <c r="G11" s="184" t="inlineStr">
        <is>
          <t>YES</t>
        </is>
      </c>
      <c r="H11" s="163" t="n">
        <v>4</v>
      </c>
    </row>
    <row r="12" ht="18" customHeight="1" s="114">
      <c r="A12" s="221" t="inlineStr">
        <is>
          <t>Holiday</t>
        </is>
      </c>
      <c r="B12" s="141" t="inlineStr">
        <is>
          <t>NEWYEAR10</t>
        </is>
      </c>
      <c r="C12" s="158" t="inlineStr">
        <is>
          <t>holiday</t>
        </is>
      </c>
      <c r="D12" s="215" t="n">
        <v>0.1</v>
      </c>
      <c r="E12" s="216" t="n">
        <v>0</v>
      </c>
      <c r="F12" s="158" t="inlineStr">
        <is>
          <t>New Year Promotion (Jan 1-15)</t>
        </is>
      </c>
      <c r="G12" s="184" t="inlineStr">
        <is>
          <t>YES</t>
        </is>
      </c>
      <c r="H12" s="160" t="n">
        <v>1</v>
      </c>
    </row>
    <row r="13" ht="18" customHeight="1" s="114">
      <c r="A13" s="221" t="inlineStr">
        <is>
          <t>Holiday</t>
        </is>
      </c>
      <c r="B13" s="136" t="inlineStr">
        <is>
          <t>JULY4TH</t>
        </is>
      </c>
      <c r="C13" s="161" t="inlineStr">
        <is>
          <t>holiday</t>
        </is>
      </c>
      <c r="D13" s="217" t="n">
        <v>0.1</v>
      </c>
      <c r="E13" s="218" t="n">
        <v>0</v>
      </c>
      <c r="F13" s="161" t="inlineStr">
        <is>
          <t>Fourth of July Sale (Jul 1-7)</t>
        </is>
      </c>
      <c r="G13" s="184" t="inlineStr">
        <is>
          <t>YES</t>
        </is>
      </c>
      <c r="H13" s="164" t="n">
        <v>0</v>
      </c>
    </row>
    <row r="14" ht="18" customHeight="1" s="114">
      <c r="A14" s="221" t="inlineStr">
        <is>
          <t>Holiday</t>
        </is>
      </c>
      <c r="B14" s="141" t="inlineStr">
        <is>
          <t>BFCM10</t>
        </is>
      </c>
      <c r="C14" s="158" t="inlineStr">
        <is>
          <t>holiday</t>
        </is>
      </c>
      <c r="D14" s="215" t="n">
        <v>0.1</v>
      </c>
      <c r="E14" s="216" t="n">
        <v>0</v>
      </c>
      <c r="F14" s="158" t="inlineStr">
        <is>
          <t>Black Friday / Cyber Monday</t>
        </is>
      </c>
      <c r="G14" s="184" t="inlineStr">
        <is>
          <t>YES</t>
        </is>
      </c>
      <c r="H14" s="160" t="n">
        <v>6</v>
      </c>
    </row>
    <row r="15" ht="18" customHeight="1" s="114">
      <c r="A15" s="221" t="inlineStr">
        <is>
          <t>Holiday</t>
        </is>
      </c>
      <c r="B15" s="136" t="inlineStr">
        <is>
          <t>HOLIDAY10</t>
        </is>
      </c>
      <c r="C15" s="161" t="inlineStr">
        <is>
          <t>holiday</t>
        </is>
      </c>
      <c r="D15" s="217" t="n">
        <v>0.1</v>
      </c>
      <c r="E15" s="218" t="n">
        <v>0</v>
      </c>
      <c r="F15" s="161" t="inlineStr">
        <is>
          <t>Holiday Season (Dec 15-31)</t>
        </is>
      </c>
      <c r="G15" s="184" t="inlineStr">
        <is>
          <t>YES</t>
        </is>
      </c>
      <c r="H15" s="163" t="n">
        <v>5</v>
      </c>
    </row>
    <row r="18" ht="25.5" customHeight="1" s="114">
      <c r="A18" s="134" t="inlineStr">
        <is>
          <t>SAVINGS CALCULATOR</t>
        </is>
      </c>
    </row>
    <row r="19" ht="19.5" customHeight="1" s="114">
      <c r="A19" s="222" t="inlineStr">
        <is>
          <t>Order Quantity (packs)</t>
        </is>
      </c>
      <c r="B19" s="223" t="n">
        <v>1000</v>
      </c>
    </row>
    <row r="20" ht="19.5" customHeight="1" s="114">
      <c r="A20" s="222" t="inlineStr">
        <is>
          <t>Price Per Pack ($)</t>
        </is>
      </c>
      <c r="B20" s="224" t="n">
        <v>3</v>
      </c>
    </row>
    <row r="21" ht="19.5" customHeight="1" s="114">
      <c r="A21" s="222" t="inlineStr">
        <is>
          <t>Subtotal</t>
        </is>
      </c>
      <c r="B21" s="139" t="n">
        <v>3000</v>
      </c>
    </row>
    <row r="22" ht="19.5" customHeight="1" s="114">
      <c r="A22" s="222" t="inlineStr">
        <is>
          <t>Discount Code (enter)</t>
        </is>
      </c>
      <c r="B22" s="225" t="inlineStr">
        <is>
          <t>VETERAN20</t>
        </is>
      </c>
    </row>
    <row r="23" ht="19.5" customHeight="1" s="114">
      <c r="A23" s="222" t="inlineStr">
        <is>
          <t>Discount % Applied</t>
        </is>
      </c>
      <c r="B23" s="226" t="n">
        <v>0.2</v>
      </c>
    </row>
    <row r="24" ht="19.5" customHeight="1" s="114">
      <c r="A24" s="222" t="inlineStr">
        <is>
          <t>Discount Amount</t>
        </is>
      </c>
      <c r="B24" s="139" t="n">
        <v>600</v>
      </c>
    </row>
    <row r="25" ht="19.5" customHeight="1" s="114">
      <c r="A25" s="222" t="inlineStr">
        <is>
          <t>Final Order Total</t>
        </is>
      </c>
      <c r="B25" s="149" t="n">
        <v>2400</v>
      </c>
    </row>
  </sheetData>
  <mergeCells count="4">
    <mergeCell ref="A1:I1"/>
    <mergeCell ref="A4:H4"/>
    <mergeCell ref="A18:D18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E44AD"/>
    <outlinePr summaryBelow="1" summaryRight="1"/>
    <pageSetUpPr fitToPage="0"/>
  </sheetPr>
  <dimension ref="A1:K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13" min="1" max="1"/>
    <col width="30" customWidth="1" style="113" min="2" max="2"/>
    <col width="16" customWidth="1" style="113" min="3" max="3"/>
    <col width="28" customWidth="1" style="113" min="4" max="4"/>
    <col width="26" customWidth="1" style="113" min="5" max="5"/>
    <col width="20" customWidth="1" style="113" min="6" max="6"/>
    <col width="14" customWidth="1" style="113" min="7" max="7"/>
    <col width="7" customWidth="1" style="113" min="8" max="8"/>
    <col width="24" customWidth="1" style="113" min="9" max="9"/>
    <col width="12" customWidth="1" style="113" min="10" max="10"/>
    <col width="16" customWidth="1" style="113" min="11" max="11"/>
  </cols>
  <sheetData>
    <row r="1" ht="42" customHeight="1" s="114">
      <c r="A1" s="115" t="inlineStr">
        <is>
          <t>KC  KILACOMBS - BUYER / CONTACT DATABASE</t>
        </is>
      </c>
    </row>
    <row r="2" ht="18" customHeight="1" s="114">
      <c r="A2" s="116" t="inlineStr">
        <is>
          <t>Deduplicated contact records from all wholesale orders</t>
        </is>
      </c>
    </row>
    <row r="3" ht="19.5" customHeight="1" s="114">
      <c r="A3" s="135" t="inlineStr">
        <is>
          <t>Contact Name</t>
        </is>
      </c>
      <c r="B3" s="135" t="inlineStr">
        <is>
          <t>Email</t>
        </is>
      </c>
      <c r="C3" s="135" t="inlineStr">
        <is>
          <t>Phone</t>
        </is>
      </c>
      <c r="D3" s="135" t="inlineStr">
        <is>
          <t>Business Name</t>
        </is>
      </c>
      <c r="E3" s="135" t="inlineStr">
        <is>
          <t>Business Type</t>
        </is>
      </c>
      <c r="F3" s="135" t="inlineStr">
        <is>
          <t>Buyer Category</t>
        </is>
      </c>
      <c r="G3" s="135" t="inlineStr">
        <is>
          <t>City</t>
        </is>
      </c>
      <c r="H3" s="135" t="inlineStr">
        <is>
          <t>State</t>
        </is>
      </c>
      <c r="I3" s="135" t="inlineStr">
        <is>
          <t>Website / Instagram</t>
        </is>
      </c>
      <c r="J3" s="135" t="inlineStr">
        <is>
          <t>Total Orders</t>
        </is>
      </c>
      <c r="K3" s="135" t="inlineStr">
        <is>
          <t>Lifetime Value</t>
        </is>
      </c>
    </row>
    <row r="4" ht="18" customHeight="1" s="114">
      <c r="A4" s="165" t="inlineStr">
        <is>
          <t>Layla Moore</t>
        </is>
      </c>
      <c r="B4" s="158" t="inlineStr">
        <is>
          <t>layla@riversidew.com</t>
        </is>
      </c>
      <c r="C4" s="158" t="inlineStr">
        <is>
          <t>(417) 355-8560</t>
        </is>
      </c>
      <c r="D4" s="166" t="inlineStr">
        <is>
          <t>Riverside Wrestling Club</t>
        </is>
      </c>
      <c r="E4" s="158" t="inlineStr">
        <is>
          <t>Nutrition Store</t>
        </is>
      </c>
      <c r="F4" s="166" t="inlineStr">
        <is>
          <t>Military / Veteran</t>
        </is>
      </c>
      <c r="G4" s="158" t="inlineStr">
        <is>
          <t>Brooklyn</t>
        </is>
      </c>
      <c r="H4" s="167" t="inlineStr">
        <is>
          <t>NY</t>
        </is>
      </c>
      <c r="I4" s="158" t="n"/>
      <c r="J4" s="142" t="n">
        <v>1</v>
      </c>
      <c r="K4" s="227" t="n">
        <v>2550</v>
      </c>
    </row>
    <row r="5" ht="18" customHeight="1" s="114">
      <c r="A5" s="174" t="inlineStr">
        <is>
          <t>Sofia Lewis</t>
        </is>
      </c>
      <c r="B5" s="161" t="inlineStr">
        <is>
          <t>sofia@nutriprosu.com</t>
        </is>
      </c>
      <c r="C5" s="161" t="inlineStr">
        <is>
          <t>(381) 715-3883</t>
        </is>
      </c>
      <c r="D5" s="175" t="inlineStr">
        <is>
          <t>NutriPro Supply</t>
        </is>
      </c>
      <c r="E5" s="161" t="inlineStr">
        <is>
          <t>Gym / Fitness Center</t>
        </is>
      </c>
      <c r="F5" s="175" t="inlineStr">
        <is>
          <t>Reseller / Gym</t>
        </is>
      </c>
      <c r="G5" s="161" t="inlineStr">
        <is>
          <t>Atlanta</t>
        </is>
      </c>
      <c r="H5" s="164" t="inlineStr">
        <is>
          <t>GA</t>
        </is>
      </c>
      <c r="I5" s="161" t="n"/>
      <c r="J5" s="137" t="n">
        <v>1</v>
      </c>
      <c r="K5" s="228" t="n">
        <v>2550</v>
      </c>
    </row>
    <row r="6" ht="18" customHeight="1" s="114">
      <c r="A6" s="165" t="inlineStr">
        <is>
          <t>Elijah Lewis</t>
        </is>
      </c>
      <c r="B6" s="158" t="inlineStr">
        <is>
          <t>elijah@steelcityf.com</t>
        </is>
      </c>
      <c r="C6" s="158" t="inlineStr">
        <is>
          <t>(334) 956-3464</t>
        </is>
      </c>
      <c r="D6" s="166" t="inlineStr">
        <is>
          <t>Steel City Fitness</t>
        </is>
      </c>
      <c r="E6" s="158" t="inlineStr">
        <is>
          <t>Personal Training Business</t>
        </is>
      </c>
      <c r="F6" s="166" t="inlineStr">
        <is>
          <t>Reseller / Gym</t>
        </is>
      </c>
      <c r="G6" s="158" t="inlineStr">
        <is>
          <t>Chicago</t>
        </is>
      </c>
      <c r="H6" s="167" t="inlineStr">
        <is>
          <t>IL</t>
        </is>
      </c>
      <c r="I6" s="158" t="n"/>
      <c r="J6" s="142" t="n">
        <v>1</v>
      </c>
      <c r="K6" s="229" t="n">
        <v>1500</v>
      </c>
    </row>
    <row r="7" ht="18" customHeight="1" s="114">
      <c r="A7" s="174" t="inlineStr">
        <is>
          <t>Naomi Davis</t>
        </is>
      </c>
      <c r="B7" s="161" t="inlineStr">
        <is>
          <t>naomi@elitecomba.com</t>
        </is>
      </c>
      <c r="C7" s="161" t="inlineStr">
        <is>
          <t>(608) 544-7543</t>
        </is>
      </c>
      <c r="D7" s="175" t="inlineStr">
        <is>
          <t>Elite Combat Training</t>
        </is>
      </c>
      <c r="E7" s="161" t="inlineStr">
        <is>
          <t>Personal Training Business</t>
        </is>
      </c>
      <c r="F7" s="175" t="inlineStr">
        <is>
          <t>Personal / Team</t>
        </is>
      </c>
      <c r="G7" s="161" t="inlineStr">
        <is>
          <t>Houston</t>
        </is>
      </c>
      <c r="H7" s="164" t="inlineStr">
        <is>
          <t>TX</t>
        </is>
      </c>
      <c r="I7" s="161" t="n"/>
      <c r="J7" s="137" t="n">
        <v>1</v>
      </c>
      <c r="K7" s="230" t="n">
        <v>6000</v>
      </c>
    </row>
    <row r="8" ht="18" customHeight="1" s="114">
      <c r="A8" s="165" t="inlineStr">
        <is>
          <t>Sofia Martinez</t>
        </is>
      </c>
      <c r="B8" s="158" t="inlineStr">
        <is>
          <t>sofia@apexwrestl.com</t>
        </is>
      </c>
      <c r="C8" s="158" t="inlineStr">
        <is>
          <t>(648) 631-5197</t>
        </is>
      </c>
      <c r="D8" s="166" t="inlineStr">
        <is>
          <t>Apex Wrestling Academy</t>
        </is>
      </c>
      <c r="E8" s="158" t="inlineStr">
        <is>
          <t>Wrestling / MMA Academy</t>
        </is>
      </c>
      <c r="F8" s="166" t="inlineStr">
        <is>
          <t>Military / Veteran</t>
        </is>
      </c>
      <c r="G8" s="158" t="inlineStr">
        <is>
          <t>Detroit</t>
        </is>
      </c>
      <c r="H8" s="167" t="inlineStr">
        <is>
          <t>MI</t>
        </is>
      </c>
      <c r="I8" s="158" t="n"/>
      <c r="J8" s="142" t="n">
        <v>1</v>
      </c>
      <c r="K8" s="231" t="n">
        <v>5400</v>
      </c>
    </row>
    <row r="9" ht="18" customHeight="1" s="114">
      <c r="A9" s="174" t="inlineStr">
        <is>
          <t>James Walker</t>
        </is>
      </c>
      <c r="B9" s="161" t="inlineStr">
        <is>
          <t>james@peakperfor.com</t>
        </is>
      </c>
      <c r="C9" s="161" t="inlineStr">
        <is>
          <t>(397) 880-3812</t>
        </is>
      </c>
      <c r="D9" s="175" t="inlineStr">
        <is>
          <t>Peak Performance Fitness</t>
        </is>
      </c>
      <c r="E9" s="161" t="inlineStr">
        <is>
          <t>Youth Sports Program</t>
        </is>
      </c>
      <c r="F9" s="175" t="inlineStr">
        <is>
          <t>Personal / Team</t>
        </is>
      </c>
      <c r="G9" s="161" t="inlineStr">
        <is>
          <t>Philadelphia</t>
        </is>
      </c>
      <c r="H9" s="164" t="inlineStr">
        <is>
          <t>PA</t>
        </is>
      </c>
      <c r="I9" s="161" t="n"/>
      <c r="J9" s="137" t="n">
        <v>1</v>
      </c>
      <c r="K9" s="228" t="n">
        <v>2400</v>
      </c>
    </row>
    <row r="10" ht="18" customHeight="1" s="114">
      <c r="A10" s="165" t="inlineStr">
        <is>
          <t>Christian Wilson</t>
        </is>
      </c>
      <c r="B10" s="158" t="inlineStr">
        <is>
          <t>christian@victorymar.com</t>
        </is>
      </c>
      <c r="C10" s="158" t="inlineStr">
        <is>
          <t>(983) 820-5710</t>
        </is>
      </c>
      <c r="D10" s="166" t="inlineStr">
        <is>
          <t>Victory Martial Arts</t>
        </is>
      </c>
      <c r="E10" s="158" t="inlineStr">
        <is>
          <t>School / University</t>
        </is>
      </c>
      <c r="F10" s="166" t="inlineStr">
        <is>
          <t>Reseller / Gym</t>
        </is>
      </c>
      <c r="G10" s="158" t="inlineStr">
        <is>
          <t>New York</t>
        </is>
      </c>
      <c r="H10" s="167" t="inlineStr">
        <is>
          <t>NY</t>
        </is>
      </c>
      <c r="I10" s="158" t="n"/>
      <c r="J10" s="142" t="n">
        <v>1</v>
      </c>
      <c r="K10" s="231" t="n">
        <v>7650</v>
      </c>
    </row>
    <row r="11" ht="18" customHeight="1" s="114">
      <c r="A11" s="174" t="inlineStr">
        <is>
          <t>Maya Jackson</t>
        </is>
      </c>
      <c r="B11" s="161" t="inlineStr">
        <is>
          <t>maya@alphatrain.com</t>
        </is>
      </c>
      <c r="C11" s="161" t="inlineStr">
        <is>
          <t>(911) 918-7373</t>
        </is>
      </c>
      <c r="D11" s="175" t="inlineStr">
        <is>
          <t>Alpha Training Center</t>
        </is>
      </c>
      <c r="E11" s="161" t="inlineStr">
        <is>
          <t>Personal Training Business</t>
        </is>
      </c>
      <c r="F11" s="175" t="inlineStr">
        <is>
          <t>School / Program</t>
        </is>
      </c>
      <c r="G11" s="161" t="inlineStr">
        <is>
          <t>New York</t>
        </is>
      </c>
      <c r="H11" s="164" t="inlineStr">
        <is>
          <t>NY</t>
        </is>
      </c>
      <c r="I11" s="161" t="n"/>
      <c r="J11" s="137" t="n">
        <v>1</v>
      </c>
      <c r="K11" s="230" t="n">
        <v>5100</v>
      </c>
    </row>
    <row r="12" ht="18" customHeight="1" s="114">
      <c r="A12" s="165" t="inlineStr">
        <is>
          <t>Tyler Brown</t>
        </is>
      </c>
      <c r="B12" s="158" t="inlineStr">
        <is>
          <t>tyler@championsp.com</t>
        </is>
      </c>
      <c r="C12" s="158" t="inlineStr">
        <is>
          <t>(870) 951-1064</t>
        </is>
      </c>
      <c r="D12" s="166" t="inlineStr">
        <is>
          <t>Champion Sports Academy</t>
        </is>
      </c>
      <c r="E12" s="158" t="inlineStr">
        <is>
          <t>Youth Sports Program</t>
        </is>
      </c>
      <c r="F12" s="166" t="inlineStr">
        <is>
          <t>Reseller / Gym</t>
        </is>
      </c>
      <c r="G12" s="158" t="inlineStr">
        <is>
          <t>Miami</t>
        </is>
      </c>
      <c r="H12" s="167" t="inlineStr">
        <is>
          <t>FL</t>
        </is>
      </c>
      <c r="I12" s="158" t="n"/>
      <c r="J12" s="142" t="n">
        <v>1</v>
      </c>
      <c r="K12" s="231" t="n">
        <v>6000</v>
      </c>
    </row>
    <row r="13" ht="18" customHeight="1" s="114">
      <c r="A13" s="174" t="inlineStr">
        <is>
          <t>Christian Smith</t>
        </is>
      </c>
      <c r="B13" s="161" t="inlineStr">
        <is>
          <t>christian@lincolnhig.com</t>
        </is>
      </c>
      <c r="C13" s="161" t="inlineStr">
        <is>
          <t>(402) 994-3844</t>
        </is>
      </c>
      <c r="D13" s="175" t="inlineStr">
        <is>
          <t>Lincoln High Athletics</t>
        </is>
      </c>
      <c r="E13" s="161" t="inlineStr">
        <is>
          <t>Military / VA Program</t>
        </is>
      </c>
      <c r="F13" s="175" t="inlineStr">
        <is>
          <t>Reseller / Gym</t>
        </is>
      </c>
      <c r="G13" s="161" t="inlineStr">
        <is>
          <t>Houston</t>
        </is>
      </c>
      <c r="H13" s="164" t="inlineStr">
        <is>
          <t>TX</t>
        </is>
      </c>
      <c r="I13" s="161" t="n"/>
      <c r="J13" s="137" t="n">
        <v>1</v>
      </c>
      <c r="K13" s="232" t="n">
        <v>1200</v>
      </c>
    </row>
    <row r="14" ht="18" customHeight="1" s="114">
      <c r="A14" s="165" t="inlineStr">
        <is>
          <t>Jalen Davis</t>
        </is>
      </c>
      <c r="B14" s="158" t="inlineStr">
        <is>
          <t>jalen@peakperfor.com</t>
        </is>
      </c>
      <c r="C14" s="158" t="inlineStr">
        <is>
          <t>(350) 708-9540</t>
        </is>
      </c>
      <c r="D14" s="166" t="inlineStr">
        <is>
          <t>Peak Performance Fitness</t>
        </is>
      </c>
      <c r="E14" s="158" t="inlineStr">
        <is>
          <t>Gym / Fitness Center</t>
        </is>
      </c>
      <c r="F14" s="166" t="inlineStr">
        <is>
          <t>School / Program</t>
        </is>
      </c>
      <c r="G14" s="158" t="inlineStr">
        <is>
          <t>Dallas</t>
        </is>
      </c>
      <c r="H14" s="167" t="inlineStr">
        <is>
          <t>TX</t>
        </is>
      </c>
      <c r="I14" s="158" t="n"/>
      <c r="J14" s="142" t="n">
        <v>1</v>
      </c>
      <c r="K14" s="229" t="n">
        <v>1350</v>
      </c>
    </row>
    <row r="15" ht="18" customHeight="1" s="114">
      <c r="A15" s="174" t="inlineStr">
        <is>
          <t>Brandon Johnson</t>
        </is>
      </c>
      <c r="B15" s="161" t="inlineStr">
        <is>
          <t>brandon@alphatrain.com</t>
        </is>
      </c>
      <c r="C15" s="161" t="inlineStr">
        <is>
          <t>(502) 497-3025</t>
        </is>
      </c>
      <c r="D15" s="175" t="inlineStr">
        <is>
          <t>Alpha Training Center</t>
        </is>
      </c>
      <c r="E15" s="161" t="inlineStr">
        <is>
          <t>Online Reseller</t>
        </is>
      </c>
      <c r="F15" s="175" t="inlineStr">
        <is>
          <t>Personal / Team</t>
        </is>
      </c>
      <c r="G15" s="161" t="inlineStr">
        <is>
          <t>Miami</t>
        </is>
      </c>
      <c r="H15" s="164" t="inlineStr">
        <is>
          <t>FL</t>
        </is>
      </c>
      <c r="I15" s="161" t="n"/>
      <c r="J15" s="137" t="n">
        <v>1</v>
      </c>
      <c r="K15" s="230" t="n">
        <v>15000</v>
      </c>
    </row>
    <row r="16" ht="18" customHeight="1" s="114">
      <c r="A16" s="165" t="inlineStr">
        <is>
          <t>Derek Wilson</t>
        </is>
      </c>
      <c r="B16" s="158" t="inlineStr">
        <is>
          <t>derek@lincolnhig.com</t>
        </is>
      </c>
      <c r="C16" s="158" t="inlineStr">
        <is>
          <t>(378) 736-7656</t>
        </is>
      </c>
      <c r="D16" s="166" t="inlineStr">
        <is>
          <t>Lincoln High Athletics</t>
        </is>
      </c>
      <c r="E16" s="158" t="inlineStr">
        <is>
          <t>Gym / Fitness Center</t>
        </is>
      </c>
      <c r="F16" s="166" t="inlineStr">
        <is>
          <t>School / Program</t>
        </is>
      </c>
      <c r="G16" s="158" t="inlineStr">
        <is>
          <t>Brooklyn</t>
        </is>
      </c>
      <c r="H16" s="167" t="inlineStr">
        <is>
          <t>NY</t>
        </is>
      </c>
      <c r="I16" s="158" t="n"/>
      <c r="J16" s="142" t="n">
        <v>1</v>
      </c>
      <c r="K16" s="227" t="n">
        <v>3600</v>
      </c>
    </row>
    <row r="17" ht="18" customHeight="1" s="114">
      <c r="A17" s="174" t="inlineStr">
        <is>
          <t>Tyler Martinez</t>
        </is>
      </c>
      <c r="B17" s="161" t="inlineStr">
        <is>
          <t>tyler@alphatrain.com</t>
        </is>
      </c>
      <c r="C17" s="161" t="inlineStr">
        <is>
          <t>(275) 369-4822</t>
        </is>
      </c>
      <c r="D17" s="175" t="inlineStr">
        <is>
          <t>Alpha Training Center</t>
        </is>
      </c>
      <c r="E17" s="161" t="inlineStr">
        <is>
          <t>Military / VA Program</t>
        </is>
      </c>
      <c r="F17" s="175" t="inlineStr">
        <is>
          <t>Personal / Team</t>
        </is>
      </c>
      <c r="G17" s="161" t="inlineStr">
        <is>
          <t>Chicago</t>
        </is>
      </c>
      <c r="H17" s="164" t="inlineStr">
        <is>
          <t>IL</t>
        </is>
      </c>
      <c r="I17" s="161" t="n"/>
      <c r="J17" s="137" t="n">
        <v>1</v>
      </c>
      <c r="K17" s="232" t="n">
        <v>1350</v>
      </c>
    </row>
    <row r="18" ht="18" customHeight="1" s="114">
      <c r="A18" s="165" t="inlineStr">
        <is>
          <t>James Allen</t>
        </is>
      </c>
      <c r="B18" s="158" t="inlineStr">
        <is>
          <t>james@fuelupnutr.com</t>
        </is>
      </c>
      <c r="C18" s="158" t="inlineStr">
        <is>
          <t>(756) 279-4845</t>
        </is>
      </c>
      <c r="D18" s="166" t="inlineStr">
        <is>
          <t>FuelUp Nutrition</t>
        </is>
      </c>
      <c r="E18" s="158" t="inlineStr">
        <is>
          <t>School / University</t>
        </is>
      </c>
      <c r="F18" s="166" t="inlineStr">
        <is>
          <t>School / Program</t>
        </is>
      </c>
      <c r="G18" s="158" t="inlineStr">
        <is>
          <t>Detroit</t>
        </is>
      </c>
      <c r="H18" s="167" t="inlineStr">
        <is>
          <t>MI</t>
        </is>
      </c>
      <c r="I18" s="158" t="n"/>
      <c r="J18" s="142" t="n">
        <v>1</v>
      </c>
      <c r="K18" s="229" t="n">
        <v>1275</v>
      </c>
    </row>
    <row r="19" ht="18" customHeight="1" s="114">
      <c r="A19" s="174" t="inlineStr">
        <is>
          <t>Layla Robinson</t>
        </is>
      </c>
      <c r="B19" s="161" t="inlineStr">
        <is>
          <t>layla@forcefitne.com</t>
        </is>
      </c>
      <c r="C19" s="161" t="inlineStr">
        <is>
          <t>(743) 502-4215</t>
        </is>
      </c>
      <c r="D19" s="175" t="inlineStr">
        <is>
          <t>Force Fitness Center</t>
        </is>
      </c>
      <c r="E19" s="161" t="inlineStr">
        <is>
          <t>Military / VA Program</t>
        </is>
      </c>
      <c r="F19" s="175" t="inlineStr">
        <is>
          <t>Reseller / Gym</t>
        </is>
      </c>
      <c r="G19" s="161" t="inlineStr">
        <is>
          <t>Chicago</t>
        </is>
      </c>
      <c r="H19" s="164" t="inlineStr">
        <is>
          <t>IL</t>
        </is>
      </c>
      <c r="I19" s="161" t="n"/>
      <c r="J19" s="137" t="n">
        <v>1</v>
      </c>
      <c r="K19" s="228" t="n">
        <v>2400</v>
      </c>
    </row>
    <row r="20" ht="18" customHeight="1" s="114">
      <c r="A20" s="165" t="inlineStr">
        <is>
          <t>Jerome Moore</t>
        </is>
      </c>
      <c r="B20" s="158" t="inlineStr">
        <is>
          <t>jerome@peakperfor.com</t>
        </is>
      </c>
      <c r="C20" s="158" t="inlineStr">
        <is>
          <t>(380) 416-4639</t>
        </is>
      </c>
      <c r="D20" s="166" t="inlineStr">
        <is>
          <t>Peak Performance Fitness</t>
        </is>
      </c>
      <c r="E20" s="158" t="inlineStr">
        <is>
          <t>Military / VA Program</t>
        </is>
      </c>
      <c r="F20" s="166" t="inlineStr">
        <is>
          <t>Military / Veteran</t>
        </is>
      </c>
      <c r="G20" s="158" t="inlineStr">
        <is>
          <t>Cleveland</t>
        </is>
      </c>
      <c r="H20" s="167" t="inlineStr">
        <is>
          <t>OH</t>
        </is>
      </c>
      <c r="I20" s="158" t="n"/>
      <c r="J20" s="142" t="n">
        <v>1</v>
      </c>
      <c r="K20" s="231" t="n">
        <v>7650</v>
      </c>
    </row>
    <row r="21" ht="18" customHeight="1" s="114">
      <c r="A21" s="174" t="inlineStr">
        <is>
          <t>Marcus Harris</t>
        </is>
      </c>
      <c r="B21" s="161" t="inlineStr">
        <is>
          <t>marcus@warriorsmm.com</t>
        </is>
      </c>
      <c r="C21" s="161" t="inlineStr">
        <is>
          <t>(533) 835-2678</t>
        </is>
      </c>
      <c r="D21" s="175" t="inlineStr">
        <is>
          <t>Warriors MMA</t>
        </is>
      </c>
      <c r="E21" s="161" t="inlineStr">
        <is>
          <t>Youth Sports Program</t>
        </is>
      </c>
      <c r="F21" s="175" t="inlineStr">
        <is>
          <t>Military / Veteran</t>
        </is>
      </c>
      <c r="G21" s="161" t="inlineStr">
        <is>
          <t>Baltimore</t>
        </is>
      </c>
      <c r="H21" s="164" t="inlineStr">
        <is>
          <t>MD</t>
        </is>
      </c>
      <c r="I21" s="161" t="n"/>
      <c r="J21" s="137" t="n">
        <v>1</v>
      </c>
      <c r="K21" s="232" t="n">
        <v>1350</v>
      </c>
    </row>
    <row r="22" ht="18" customHeight="1" s="114">
      <c r="A22" s="165" t="inlineStr">
        <is>
          <t>Aisha Clark</t>
        </is>
      </c>
      <c r="B22" s="158" t="inlineStr">
        <is>
          <t>aisha@combatspor.com</t>
        </is>
      </c>
      <c r="C22" s="158" t="inlineStr">
        <is>
          <t>(493) 607-4414</t>
        </is>
      </c>
      <c r="D22" s="166" t="inlineStr">
        <is>
          <t>Combat Sports Nutrition</t>
        </is>
      </c>
      <c r="E22" s="158" t="inlineStr">
        <is>
          <t>Wrestling / MMA Academy</t>
        </is>
      </c>
      <c r="F22" s="166" t="inlineStr">
        <is>
          <t>Military / Veteran</t>
        </is>
      </c>
      <c r="G22" s="158" t="inlineStr">
        <is>
          <t>Dallas</t>
        </is>
      </c>
      <c r="H22" s="167" t="inlineStr">
        <is>
          <t>TX</t>
        </is>
      </c>
      <c r="I22" s="158" t="n"/>
      <c r="J22" s="142" t="n">
        <v>1</v>
      </c>
      <c r="K22" s="231" t="n">
        <v>13500</v>
      </c>
    </row>
    <row r="23" ht="18" customHeight="1" s="114">
      <c r="A23" s="174" t="inlineStr">
        <is>
          <t>Keisha Taylor</t>
        </is>
      </c>
      <c r="B23" s="161" t="inlineStr">
        <is>
          <t>keisha@warriornut.com</t>
        </is>
      </c>
      <c r="C23" s="161" t="inlineStr">
        <is>
          <t>(493) 387-3209</t>
        </is>
      </c>
      <c r="D23" s="175" t="inlineStr">
        <is>
          <t>Warrior Nutrition Co.</t>
        </is>
      </c>
      <c r="E23" s="161" t="inlineStr">
        <is>
          <t>Youth Sports Program</t>
        </is>
      </c>
      <c r="F23" s="175" t="inlineStr">
        <is>
          <t>School / Program</t>
        </is>
      </c>
      <c r="G23" s="161" t="inlineStr">
        <is>
          <t>Chicago</t>
        </is>
      </c>
      <c r="H23" s="164" t="inlineStr">
        <is>
          <t>IL</t>
        </is>
      </c>
      <c r="I23" s="161" t="n"/>
      <c r="J23" s="137" t="n">
        <v>1</v>
      </c>
      <c r="K23" s="232" t="n">
        <v>1500</v>
      </c>
    </row>
    <row r="24" ht="18" customHeight="1" s="114">
      <c r="A24" s="165" t="inlineStr">
        <is>
          <t>Brandon Anderson</t>
        </is>
      </c>
      <c r="B24" s="158" t="inlineStr">
        <is>
          <t>brandon@lincolnhig.com</t>
        </is>
      </c>
      <c r="C24" s="158" t="inlineStr">
        <is>
          <t>(988) 713-6023</t>
        </is>
      </c>
      <c r="D24" s="166" t="inlineStr">
        <is>
          <t>Lincoln High Athletics</t>
        </is>
      </c>
      <c r="E24" s="158" t="inlineStr">
        <is>
          <t>Online Reseller</t>
        </is>
      </c>
      <c r="F24" s="166" t="inlineStr">
        <is>
          <t>Military / Veteran</t>
        </is>
      </c>
      <c r="G24" s="158" t="inlineStr">
        <is>
          <t>Atlanta</t>
        </is>
      </c>
      <c r="H24" s="167" t="inlineStr">
        <is>
          <t>GA</t>
        </is>
      </c>
      <c r="I24" s="158" t="n"/>
      <c r="J24" s="142" t="n">
        <v>1</v>
      </c>
      <c r="K24" s="229" t="n">
        <v>1500</v>
      </c>
    </row>
    <row r="25" ht="18" customHeight="1" s="114">
      <c r="A25" s="174" t="inlineStr">
        <is>
          <t>Chloe Clark</t>
        </is>
      </c>
      <c r="B25" s="161" t="inlineStr">
        <is>
          <t>chloe@elitecomba.com</t>
        </is>
      </c>
      <c r="C25" s="161" t="inlineStr">
        <is>
          <t>(635) 668-2747</t>
        </is>
      </c>
      <c r="D25" s="175" t="inlineStr">
        <is>
          <t>Elite Combat Training</t>
        </is>
      </c>
      <c r="E25" s="161" t="inlineStr">
        <is>
          <t>Wrestling / MMA Academy</t>
        </is>
      </c>
      <c r="F25" s="175" t="inlineStr">
        <is>
          <t>Reseller / Gym</t>
        </is>
      </c>
      <c r="G25" s="161" t="inlineStr">
        <is>
          <t>Houston</t>
        </is>
      </c>
      <c r="H25" s="164" t="inlineStr">
        <is>
          <t>TX</t>
        </is>
      </c>
      <c r="I25" s="161" t="n"/>
      <c r="J25" s="137" t="n">
        <v>1</v>
      </c>
      <c r="K25" s="228" t="n">
        <v>3825</v>
      </c>
    </row>
    <row r="26" ht="18" customHeight="1" s="114">
      <c r="A26" s="165" t="inlineStr">
        <is>
          <t>Sofia Johnson</t>
        </is>
      </c>
      <c r="B26" s="158" t="inlineStr">
        <is>
          <t>sofia@elitecomba.com</t>
        </is>
      </c>
      <c r="C26" s="158" t="inlineStr">
        <is>
          <t>(755) 831-6725</t>
        </is>
      </c>
      <c r="D26" s="166" t="inlineStr">
        <is>
          <t>Elite Combat Training</t>
        </is>
      </c>
      <c r="E26" s="158" t="inlineStr">
        <is>
          <t>School / University</t>
        </is>
      </c>
      <c r="F26" s="166" t="inlineStr">
        <is>
          <t>Military / Veteran</t>
        </is>
      </c>
      <c r="G26" s="158" t="inlineStr">
        <is>
          <t>Los Angeles</t>
        </is>
      </c>
      <c r="H26" s="167" t="inlineStr">
        <is>
          <t>CA</t>
        </is>
      </c>
      <c r="I26" s="158" t="n"/>
      <c r="J26" s="142" t="n">
        <v>1</v>
      </c>
      <c r="K26" s="229" t="n">
        <v>1350</v>
      </c>
    </row>
    <row r="27" ht="18" customHeight="1" s="114">
      <c r="A27" s="174" t="inlineStr">
        <is>
          <t>Derek Wright</t>
        </is>
      </c>
      <c r="B27" s="161" t="inlineStr">
        <is>
          <t>derek@nutriprosu.com</t>
        </is>
      </c>
      <c r="C27" s="161" t="inlineStr">
        <is>
          <t>(646) 246-2119</t>
        </is>
      </c>
      <c r="D27" s="175" t="inlineStr">
        <is>
          <t>NutriPro Supply</t>
        </is>
      </c>
      <c r="E27" s="161" t="inlineStr">
        <is>
          <t>Military / VA Program</t>
        </is>
      </c>
      <c r="F27" s="175" t="inlineStr">
        <is>
          <t>Military / Veteran</t>
        </is>
      </c>
      <c r="G27" s="161" t="inlineStr">
        <is>
          <t>Cleveland</t>
        </is>
      </c>
      <c r="H27" s="164" t="inlineStr">
        <is>
          <t>OH</t>
        </is>
      </c>
      <c r="I27" s="161" t="n"/>
      <c r="J27" s="137" t="n">
        <v>1</v>
      </c>
      <c r="K27" s="228" t="n">
        <v>2550</v>
      </c>
    </row>
    <row r="28" ht="18" customHeight="1" s="114">
      <c r="A28" s="165" t="inlineStr">
        <is>
          <t>Chloe Walker</t>
        </is>
      </c>
      <c r="B28" s="158" t="inlineStr">
        <is>
          <t>chloe@nutriprosu.com</t>
        </is>
      </c>
      <c r="C28" s="158" t="inlineStr">
        <is>
          <t>(465) 307-4338</t>
        </is>
      </c>
      <c r="D28" s="166" t="inlineStr">
        <is>
          <t>NutriPro Supply</t>
        </is>
      </c>
      <c r="E28" s="158" t="inlineStr">
        <is>
          <t>Military / VA Program</t>
        </is>
      </c>
      <c r="F28" s="166" t="inlineStr">
        <is>
          <t>School / Program</t>
        </is>
      </c>
      <c r="G28" s="158" t="inlineStr">
        <is>
          <t>Cleveland</t>
        </is>
      </c>
      <c r="H28" s="167" t="inlineStr">
        <is>
          <t>OH</t>
        </is>
      </c>
      <c r="I28" s="158" t="n"/>
      <c r="J28" s="142" t="n">
        <v>1</v>
      </c>
      <c r="K28" s="229" t="n">
        <v>1350</v>
      </c>
    </row>
    <row r="29" ht="18" customHeight="1" s="114">
      <c r="A29" s="174" t="inlineStr">
        <is>
          <t>Tyler King</t>
        </is>
      </c>
      <c r="B29" s="161" t="inlineStr">
        <is>
          <t>tyler@warriorsmm.com</t>
        </is>
      </c>
      <c r="C29" s="161" t="inlineStr">
        <is>
          <t>(761) 720-9766</t>
        </is>
      </c>
      <c r="D29" s="175" t="inlineStr">
        <is>
          <t>Warriors MMA</t>
        </is>
      </c>
      <c r="E29" s="161" t="inlineStr">
        <is>
          <t>Youth Sports Program</t>
        </is>
      </c>
      <c r="F29" s="175" t="inlineStr">
        <is>
          <t>School / Program</t>
        </is>
      </c>
      <c r="G29" s="161" t="inlineStr">
        <is>
          <t>New York</t>
        </is>
      </c>
      <c r="H29" s="164" t="inlineStr">
        <is>
          <t>NY</t>
        </is>
      </c>
      <c r="I29" s="161" t="n"/>
      <c r="J29" s="137" t="n">
        <v>1</v>
      </c>
      <c r="K29" s="228" t="n">
        <v>4800</v>
      </c>
    </row>
    <row r="30" ht="18" customHeight="1" s="114">
      <c r="A30" s="165" t="inlineStr">
        <is>
          <t>Christian Robinson</t>
        </is>
      </c>
      <c r="B30" s="158" t="inlineStr">
        <is>
          <t>christian@forcefitne.com</t>
        </is>
      </c>
      <c r="C30" s="158" t="inlineStr">
        <is>
          <t>(774) 332-6820</t>
        </is>
      </c>
      <c r="D30" s="166" t="inlineStr">
        <is>
          <t>Force Fitness Center</t>
        </is>
      </c>
      <c r="E30" s="158" t="inlineStr">
        <is>
          <t>Gym / Fitness Center</t>
        </is>
      </c>
      <c r="F30" s="166" t="inlineStr">
        <is>
          <t>Reseller / Gym</t>
        </is>
      </c>
      <c r="G30" s="158" t="inlineStr">
        <is>
          <t>Houston</t>
        </is>
      </c>
      <c r="H30" s="167" t="inlineStr">
        <is>
          <t>TX</t>
        </is>
      </c>
      <c r="I30" s="158" t="n"/>
      <c r="J30" s="142" t="n">
        <v>1</v>
      </c>
      <c r="K30" s="227" t="n">
        <v>2400</v>
      </c>
    </row>
    <row r="31" ht="18" customHeight="1" s="114">
      <c r="A31" s="174" t="inlineStr">
        <is>
          <t>Aisha Scott</t>
        </is>
      </c>
      <c r="B31" s="161" t="inlineStr">
        <is>
          <t>aisha@irongymath.com</t>
        </is>
      </c>
      <c r="C31" s="161" t="inlineStr">
        <is>
          <t>(988) 939-1534</t>
        </is>
      </c>
      <c r="D31" s="175" t="inlineStr">
        <is>
          <t>Iron Gym Athletics LLC</t>
        </is>
      </c>
      <c r="E31" s="161" t="inlineStr">
        <is>
          <t>Youth Sports Program</t>
        </is>
      </c>
      <c r="F31" s="175" t="inlineStr">
        <is>
          <t>Reseller / Gym</t>
        </is>
      </c>
      <c r="G31" s="161" t="inlineStr">
        <is>
          <t>Miami</t>
        </is>
      </c>
      <c r="H31" s="164" t="inlineStr">
        <is>
          <t>FL</t>
        </is>
      </c>
      <c r="I31" s="161" t="n"/>
      <c r="J31" s="137" t="n">
        <v>1</v>
      </c>
      <c r="K31" s="230" t="n">
        <v>8100</v>
      </c>
    </row>
    <row r="32" ht="18" customHeight="1" s="114">
      <c r="A32" s="165" t="inlineStr">
        <is>
          <t>Fatima Hall</t>
        </is>
      </c>
      <c r="B32" s="158" t="inlineStr">
        <is>
          <t>fatima@victorymar.com</t>
        </is>
      </c>
      <c r="C32" s="158" t="inlineStr">
        <is>
          <t>(598) 924-7757</t>
        </is>
      </c>
      <c r="D32" s="166" t="inlineStr">
        <is>
          <t>Victory Martial Arts</t>
        </is>
      </c>
      <c r="E32" s="158" t="inlineStr">
        <is>
          <t>Youth Sports Program</t>
        </is>
      </c>
      <c r="F32" s="166" t="inlineStr">
        <is>
          <t>Military / Veteran</t>
        </is>
      </c>
      <c r="G32" s="158" t="inlineStr">
        <is>
          <t>Detroit</t>
        </is>
      </c>
      <c r="H32" s="167" t="inlineStr">
        <is>
          <t>MI</t>
        </is>
      </c>
      <c r="I32" s="158" t="n"/>
      <c r="J32" s="142" t="n">
        <v>1</v>
      </c>
      <c r="K32" s="229" t="n">
        <v>1275</v>
      </c>
    </row>
    <row r="33" ht="18" customHeight="1" s="114">
      <c r="A33" s="174" t="inlineStr">
        <is>
          <t>Marcus Walker</t>
        </is>
      </c>
      <c r="B33" s="161" t="inlineStr">
        <is>
          <t>marcus@lincolnhig.com</t>
        </is>
      </c>
      <c r="C33" s="161" t="inlineStr">
        <is>
          <t>(674) 675-5548</t>
        </is>
      </c>
      <c r="D33" s="175" t="inlineStr">
        <is>
          <t>Lincoln High Athletics</t>
        </is>
      </c>
      <c r="E33" s="161" t="inlineStr">
        <is>
          <t>Online Reseller</t>
        </is>
      </c>
      <c r="F33" s="175" t="inlineStr">
        <is>
          <t>Military / Veteran</t>
        </is>
      </c>
      <c r="G33" s="161" t="inlineStr">
        <is>
          <t>New York</t>
        </is>
      </c>
      <c r="H33" s="164" t="inlineStr">
        <is>
          <t>NY</t>
        </is>
      </c>
      <c r="I33" s="161" t="n"/>
      <c r="J33" s="137" t="n">
        <v>1</v>
      </c>
      <c r="K33" s="228" t="n">
        <v>2550</v>
      </c>
    </row>
    <row r="34" ht="18" customHeight="1" s="114">
      <c r="A34" s="165" t="inlineStr">
        <is>
          <t>Carlos Hall</t>
        </is>
      </c>
      <c r="B34" s="158" t="inlineStr">
        <is>
          <t>carlos@peakperfor.com</t>
        </is>
      </c>
      <c r="C34" s="158" t="inlineStr">
        <is>
          <t>(843) 977-5052</t>
        </is>
      </c>
      <c r="D34" s="166" t="inlineStr">
        <is>
          <t>Peak Performance Fitness</t>
        </is>
      </c>
      <c r="E34" s="158" t="inlineStr">
        <is>
          <t>Personal Training Business</t>
        </is>
      </c>
      <c r="F34" s="166" t="inlineStr">
        <is>
          <t>School / Program</t>
        </is>
      </c>
      <c r="G34" s="158" t="inlineStr">
        <is>
          <t>Cleveland</t>
        </is>
      </c>
      <c r="H34" s="167" t="inlineStr">
        <is>
          <t>OH</t>
        </is>
      </c>
      <c r="I34" s="158" t="n"/>
      <c r="J34" s="142" t="n">
        <v>1</v>
      </c>
      <c r="K34" s="229" t="n">
        <v>1275</v>
      </c>
    </row>
    <row r="35" ht="18" customHeight="1" s="114">
      <c r="A35" s="174" t="inlineStr">
        <is>
          <t>Christian Johnson</t>
        </is>
      </c>
      <c r="B35" s="161" t="inlineStr">
        <is>
          <t>christian@nutriprosu.com</t>
        </is>
      </c>
      <c r="C35" s="161" t="inlineStr">
        <is>
          <t>(837) 346-8884</t>
        </is>
      </c>
      <c r="D35" s="175" t="inlineStr">
        <is>
          <t>NutriPro Supply</t>
        </is>
      </c>
      <c r="E35" s="161" t="inlineStr">
        <is>
          <t>Military / VA Program</t>
        </is>
      </c>
      <c r="F35" s="175" t="inlineStr">
        <is>
          <t>School / Program</t>
        </is>
      </c>
      <c r="G35" s="161" t="inlineStr">
        <is>
          <t>Chicago</t>
        </is>
      </c>
      <c r="H35" s="164" t="inlineStr">
        <is>
          <t>IL</t>
        </is>
      </c>
      <c r="I35" s="161" t="n"/>
      <c r="J35" s="137" t="n">
        <v>1</v>
      </c>
      <c r="K35" s="232" t="n">
        <v>1350</v>
      </c>
    </row>
    <row r="36" ht="18" customHeight="1" s="114">
      <c r="A36" s="165" t="inlineStr">
        <is>
          <t>Malik Clark</t>
        </is>
      </c>
      <c r="B36" s="158" t="inlineStr">
        <is>
          <t>malik@lincolnhig.com</t>
        </is>
      </c>
      <c r="C36" s="158" t="inlineStr">
        <is>
          <t>(946) 400-3070</t>
        </is>
      </c>
      <c r="D36" s="166" t="inlineStr">
        <is>
          <t>Lincoln High Athletics</t>
        </is>
      </c>
      <c r="E36" s="158" t="inlineStr">
        <is>
          <t>Wrestling / MMA Academy</t>
        </is>
      </c>
      <c r="F36" s="166" t="inlineStr">
        <is>
          <t>Personal / Team</t>
        </is>
      </c>
      <c r="G36" s="158" t="inlineStr">
        <is>
          <t>Miami</t>
        </is>
      </c>
      <c r="H36" s="167" t="inlineStr">
        <is>
          <t>FL</t>
        </is>
      </c>
      <c r="I36" s="158" t="n"/>
      <c r="J36" s="142" t="n">
        <v>1</v>
      </c>
      <c r="K36" s="231" t="n">
        <v>7650</v>
      </c>
    </row>
    <row r="37" ht="18" customHeight="1" s="114">
      <c r="A37" s="174" t="inlineStr">
        <is>
          <t>Naomi Davis</t>
        </is>
      </c>
      <c r="B37" s="161" t="inlineStr">
        <is>
          <t>naomi@alphatrain.com</t>
        </is>
      </c>
      <c r="C37" s="161" t="inlineStr">
        <is>
          <t>(560) 575-6681</t>
        </is>
      </c>
      <c r="D37" s="175" t="inlineStr">
        <is>
          <t>Alpha Training Center</t>
        </is>
      </c>
      <c r="E37" s="161" t="inlineStr">
        <is>
          <t>Military / VA Program</t>
        </is>
      </c>
      <c r="F37" s="175" t="inlineStr">
        <is>
          <t>School / Program</t>
        </is>
      </c>
      <c r="G37" s="161" t="inlineStr">
        <is>
          <t>Cleveland</t>
        </is>
      </c>
      <c r="H37" s="164" t="inlineStr">
        <is>
          <t>OH</t>
        </is>
      </c>
      <c r="I37" s="161" t="n"/>
      <c r="J37" s="137" t="n">
        <v>1</v>
      </c>
      <c r="K37" s="232" t="n">
        <v>1275</v>
      </c>
    </row>
    <row r="38" ht="18" customHeight="1" s="114">
      <c r="A38" s="165" t="inlineStr">
        <is>
          <t>Jayla Young</t>
        </is>
      </c>
      <c r="B38" s="158" t="inlineStr">
        <is>
          <t>jayla@combatspor.com</t>
        </is>
      </c>
      <c r="C38" s="158" t="inlineStr">
        <is>
          <t>(706) 214-8692</t>
        </is>
      </c>
      <c r="D38" s="166" t="inlineStr">
        <is>
          <t>Combat Sports Nutrition</t>
        </is>
      </c>
      <c r="E38" s="158" t="inlineStr">
        <is>
          <t>Gym / Fitness Center</t>
        </is>
      </c>
      <c r="F38" s="166" t="inlineStr">
        <is>
          <t>Military / Veteran</t>
        </is>
      </c>
      <c r="G38" s="158" t="inlineStr">
        <is>
          <t>Chicago</t>
        </is>
      </c>
      <c r="H38" s="167" t="inlineStr">
        <is>
          <t>IL</t>
        </is>
      </c>
      <c r="I38" s="158" t="n"/>
      <c r="J38" s="142" t="n">
        <v>1</v>
      </c>
      <c r="K38" s="231" t="n">
        <v>15000</v>
      </c>
    </row>
    <row r="39" ht="18" customHeight="1" s="114">
      <c r="A39" s="174" t="inlineStr">
        <is>
          <t>Simone Williams</t>
        </is>
      </c>
      <c r="B39" s="161" t="inlineStr">
        <is>
          <t>simone@irongymath.com</t>
        </is>
      </c>
      <c r="C39" s="161" t="inlineStr">
        <is>
          <t>(516) 751-2290</t>
        </is>
      </c>
      <c r="D39" s="175" t="inlineStr">
        <is>
          <t>Iron Gym Athletics LLC</t>
        </is>
      </c>
      <c r="E39" s="161" t="inlineStr">
        <is>
          <t>Wrestling / MMA Academy</t>
        </is>
      </c>
      <c r="F39" s="175" t="inlineStr">
        <is>
          <t>Personal / Team</t>
        </is>
      </c>
      <c r="G39" s="161" t="inlineStr">
        <is>
          <t>Atlanta</t>
        </is>
      </c>
      <c r="H39" s="164" t="inlineStr">
        <is>
          <t>GA</t>
        </is>
      </c>
      <c r="I39" s="161" t="n"/>
      <c r="J39" s="137" t="n">
        <v>1</v>
      </c>
      <c r="K39" s="228" t="n">
        <v>4050</v>
      </c>
    </row>
    <row r="40" ht="18" customHeight="1" s="114">
      <c r="A40" s="165" t="inlineStr">
        <is>
          <t>Sofia King</t>
        </is>
      </c>
      <c r="B40" s="158" t="inlineStr">
        <is>
          <t>sofia@riversidew.com</t>
        </is>
      </c>
      <c r="C40" s="158" t="inlineStr">
        <is>
          <t>(927) 793-1375</t>
        </is>
      </c>
      <c r="D40" s="166" t="inlineStr">
        <is>
          <t>Riverside Wrestling Club</t>
        </is>
      </c>
      <c r="E40" s="158" t="inlineStr">
        <is>
          <t>Gym / Fitness Center</t>
        </is>
      </c>
      <c r="F40" s="166" t="inlineStr">
        <is>
          <t>School / Program</t>
        </is>
      </c>
      <c r="G40" s="158" t="inlineStr">
        <is>
          <t>Chicago</t>
        </is>
      </c>
      <c r="H40" s="167" t="inlineStr">
        <is>
          <t>IL</t>
        </is>
      </c>
      <c r="I40" s="158" t="n"/>
      <c r="J40" s="142" t="n">
        <v>1</v>
      </c>
      <c r="K40" s="227" t="n">
        <v>4800</v>
      </c>
    </row>
    <row r="41" ht="18" customHeight="1" s="114">
      <c r="A41" s="174" t="inlineStr">
        <is>
          <t>Maya Wilson</t>
        </is>
      </c>
      <c r="B41" s="161" t="inlineStr">
        <is>
          <t>maya@eastsidebo.com</t>
        </is>
      </c>
      <c r="C41" s="161" t="inlineStr">
        <is>
          <t>(593) 568-3289</t>
        </is>
      </c>
      <c r="D41" s="175" t="inlineStr">
        <is>
          <t>East Side Boxing</t>
        </is>
      </c>
      <c r="E41" s="161" t="inlineStr">
        <is>
          <t>School / University</t>
        </is>
      </c>
      <c r="F41" s="175" t="inlineStr">
        <is>
          <t>School / Program</t>
        </is>
      </c>
      <c r="G41" s="161" t="inlineStr">
        <is>
          <t>Houston</t>
        </is>
      </c>
      <c r="H41" s="164" t="inlineStr">
        <is>
          <t>TX</t>
        </is>
      </c>
      <c r="I41" s="161" t="n"/>
      <c r="J41" s="137" t="n">
        <v>1</v>
      </c>
      <c r="K41" s="232" t="n">
        <v>1275</v>
      </c>
    </row>
    <row r="42" ht="18" customHeight="1" s="114">
      <c r="A42" s="165" t="inlineStr">
        <is>
          <t>Brianna Smith</t>
        </is>
      </c>
      <c r="B42" s="158" t="inlineStr">
        <is>
          <t>brianna@steelcityf.com</t>
        </is>
      </c>
      <c r="C42" s="158" t="inlineStr">
        <is>
          <t>(289) 373-1257</t>
        </is>
      </c>
      <c r="D42" s="166" t="inlineStr">
        <is>
          <t>Steel City Fitness</t>
        </is>
      </c>
      <c r="E42" s="158" t="inlineStr">
        <is>
          <t>School / University</t>
        </is>
      </c>
      <c r="F42" s="166" t="inlineStr">
        <is>
          <t>Reseller / Gym</t>
        </is>
      </c>
      <c r="G42" s="158" t="inlineStr">
        <is>
          <t>Los Angeles</t>
        </is>
      </c>
      <c r="H42" s="167" t="inlineStr">
        <is>
          <t>CA</t>
        </is>
      </c>
      <c r="I42" s="158" t="n"/>
      <c r="J42" s="142" t="n">
        <v>1</v>
      </c>
      <c r="K42" s="227" t="n">
        <v>2700</v>
      </c>
    </row>
    <row r="43" ht="18" customHeight="1" s="114">
      <c r="A43" s="174" t="inlineStr">
        <is>
          <t>Tyrese Jackson</t>
        </is>
      </c>
      <c r="B43" s="161" t="inlineStr">
        <is>
          <t>tyrese@fuelupnutr.com</t>
        </is>
      </c>
      <c r="C43" s="161" t="inlineStr">
        <is>
          <t>(243) 853-4545</t>
        </is>
      </c>
      <c r="D43" s="175" t="inlineStr">
        <is>
          <t>FuelUp Nutrition</t>
        </is>
      </c>
      <c r="E43" s="161" t="inlineStr">
        <is>
          <t>School / University</t>
        </is>
      </c>
      <c r="F43" s="175" t="inlineStr">
        <is>
          <t>Reseller / Gym</t>
        </is>
      </c>
      <c r="G43" s="161" t="inlineStr">
        <is>
          <t>New York</t>
        </is>
      </c>
      <c r="H43" s="164" t="inlineStr">
        <is>
          <t>NY</t>
        </is>
      </c>
      <c r="I43" s="161" t="n"/>
      <c r="J43" s="137" t="n">
        <v>1</v>
      </c>
      <c r="K43" s="228" t="n">
        <v>2700</v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6A085"/>
    <outlinePr summaryBelow="1" summaryRight="1"/>
    <pageSetUpPr fitToPage="0"/>
  </sheetPr>
  <dimension ref="A1:F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3" min="1" max="1"/>
    <col width="34" customWidth="1" style="113" min="2" max="2"/>
    <col width="18" customWidth="1" style="113" min="3" max="3"/>
    <col width="20" customWidth="1" style="113" min="4" max="4"/>
    <col width="22" customWidth="1" style="113" min="5" max="5"/>
    <col width="14" customWidth="1" style="113" min="6" max="6"/>
  </cols>
  <sheetData>
    <row r="1" ht="42" customHeight="1" s="114">
      <c r="A1" s="115" t="inlineStr">
        <is>
          <t>KC  KILACOMBS - EMAIL SIGNUP LIST</t>
        </is>
      </c>
    </row>
    <row r="2" ht="18" customHeight="1" s="114">
      <c r="A2" s="116" t="inlineStr">
        <is>
          <t>Wholesale inquiry &amp; website signups</t>
        </is>
      </c>
    </row>
    <row r="3" ht="19.5" customHeight="1" s="114">
      <c r="A3" s="135" t="inlineStr">
        <is>
          <t>#</t>
        </is>
      </c>
      <c r="B3" s="135" t="inlineStr">
        <is>
          <t>Email Address</t>
        </is>
      </c>
      <c r="C3" s="135" t="inlineStr">
        <is>
          <t>Source</t>
        </is>
      </c>
      <c r="D3" s="135" t="inlineStr">
        <is>
          <t>Date Signed Up</t>
        </is>
      </c>
      <c r="E3" s="135" t="inlineStr">
        <is>
          <t>Buyer Type</t>
        </is>
      </c>
      <c r="F3" s="135" t="inlineStr">
        <is>
          <t>Status</t>
        </is>
      </c>
    </row>
    <row r="4" ht="18" customHeight="1" s="114">
      <c r="A4" s="167" t="n">
        <v>1</v>
      </c>
      <c r="B4" s="166" t="inlineStr">
        <is>
          <t>fatima.allen15@icloud.com</t>
        </is>
      </c>
      <c r="C4" s="158" t="inlineStr">
        <is>
          <t>Trade Show</t>
        </is>
      </c>
      <c r="D4" s="158" t="inlineStr">
        <is>
          <t>2025-05-22 04:28</t>
        </is>
      </c>
      <c r="E4" s="158" t="inlineStr">
        <is>
          <t>School / Program</t>
        </is>
      </c>
      <c r="F4" s="184" t="inlineStr">
        <is>
          <t>Active</t>
        </is>
      </c>
    </row>
    <row r="5" ht="18" customHeight="1" s="114">
      <c r="A5" s="164" t="n">
        <v>2</v>
      </c>
      <c r="B5" s="175" t="inlineStr">
        <is>
          <t>naomi.thompson62@yahoo.com</t>
        </is>
      </c>
      <c r="C5" s="161" t="inlineStr">
        <is>
          <t>Website</t>
        </is>
      </c>
      <c r="D5" s="161" t="inlineStr">
        <is>
          <t>2025-11-28 04:28</t>
        </is>
      </c>
      <c r="E5" s="161" t="inlineStr">
        <is>
          <t>School / Program</t>
        </is>
      </c>
      <c r="F5" s="184" t="inlineStr">
        <is>
          <t>Active</t>
        </is>
      </c>
    </row>
    <row r="6" ht="18" customHeight="1" s="114">
      <c r="A6" s="167" t="n">
        <v>3</v>
      </c>
      <c r="B6" s="166" t="inlineStr">
        <is>
          <t>zara.jackson34@hotmail.com</t>
        </is>
      </c>
      <c r="C6" s="158" t="inlineStr">
        <is>
          <t>Website</t>
        </is>
      </c>
      <c r="D6" s="158" t="inlineStr">
        <is>
          <t>2025-10-29 04:28</t>
        </is>
      </c>
      <c r="E6" s="158" t="inlineStr">
        <is>
          <t>Reseller / Gym</t>
        </is>
      </c>
      <c r="F6" s="184" t="inlineStr">
        <is>
          <t>Active</t>
        </is>
      </c>
    </row>
    <row r="7" ht="18" customHeight="1" s="114">
      <c r="A7" s="164" t="n">
        <v>4</v>
      </c>
      <c r="B7" s="175" t="inlineStr">
        <is>
          <t>malik.king59@hotmail.com</t>
        </is>
      </c>
      <c r="C7" s="161" t="inlineStr">
        <is>
          <t>Email Campaign</t>
        </is>
      </c>
      <c r="D7" s="161" t="inlineStr">
        <is>
          <t>2025-10-14 04:28</t>
        </is>
      </c>
      <c r="E7" s="161" t="inlineStr">
        <is>
          <t>Military / Veteran</t>
        </is>
      </c>
      <c r="F7" s="184" t="inlineStr">
        <is>
          <t>Active</t>
        </is>
      </c>
    </row>
    <row r="8" ht="18" customHeight="1" s="114">
      <c r="A8" s="167" t="n">
        <v>5</v>
      </c>
      <c r="B8" s="166" t="inlineStr">
        <is>
          <t>malik.davis99@hotmail.com</t>
        </is>
      </c>
      <c r="C8" s="158" t="inlineStr">
        <is>
          <t>Direct Inquiry</t>
        </is>
      </c>
      <c r="D8" s="158" t="inlineStr">
        <is>
          <t>2025-07-07 04:28</t>
        </is>
      </c>
      <c r="E8" s="158" t="inlineStr">
        <is>
          <t>Personal / Team</t>
        </is>
      </c>
      <c r="F8" s="184" t="inlineStr">
        <is>
          <t>Active</t>
        </is>
      </c>
    </row>
    <row r="9" ht="18" customHeight="1" s="114">
      <c r="A9" s="164" t="n">
        <v>6</v>
      </c>
      <c r="B9" s="175" t="inlineStr">
        <is>
          <t>fatima.robinson14@hotmail.com</t>
        </is>
      </c>
      <c r="C9" s="161" t="inlineStr">
        <is>
          <t>Instagram</t>
        </is>
      </c>
      <c r="D9" s="161" t="inlineStr">
        <is>
          <t>2026-01-26 04:28</t>
        </is>
      </c>
      <c r="E9" s="161" t="inlineStr">
        <is>
          <t>Reseller / Gym</t>
        </is>
      </c>
      <c r="F9" s="184" t="inlineStr">
        <is>
          <t>Active</t>
        </is>
      </c>
    </row>
    <row r="10" ht="18" customHeight="1" s="114">
      <c r="A10" s="167" t="n">
        <v>7</v>
      </c>
      <c r="B10" s="166" t="inlineStr">
        <is>
          <t>elijah.allen68@yahoo.com</t>
        </is>
      </c>
      <c r="C10" s="158" t="inlineStr">
        <is>
          <t>Instagram</t>
        </is>
      </c>
      <c r="D10" s="158" t="inlineStr">
        <is>
          <t>2025-06-06 04:28</t>
        </is>
      </c>
      <c r="E10" s="158" t="inlineStr">
        <is>
          <t>Military / Veteran</t>
        </is>
      </c>
      <c r="F10" s="184" t="inlineStr">
        <is>
          <t>Active</t>
        </is>
      </c>
    </row>
    <row r="11" ht="18" customHeight="1" s="114">
      <c r="A11" s="164" t="n">
        <v>8</v>
      </c>
      <c r="B11" s="175" t="inlineStr">
        <is>
          <t>jayla.anderson24@icloud.com</t>
        </is>
      </c>
      <c r="C11" s="161" t="inlineStr">
        <is>
          <t>Direct Inquiry</t>
        </is>
      </c>
      <c r="D11" s="161" t="inlineStr">
        <is>
          <t>2025-08-29 04:28</t>
        </is>
      </c>
      <c r="E11" s="161" t="inlineStr">
        <is>
          <t>Reseller / Gym</t>
        </is>
      </c>
      <c r="F11" s="184" t="inlineStr">
        <is>
          <t>Active</t>
        </is>
      </c>
    </row>
    <row r="12" ht="18" customHeight="1" s="114">
      <c r="A12" s="167" t="n">
        <v>9</v>
      </c>
      <c r="B12" s="166" t="inlineStr">
        <is>
          <t>tyrese.allen97@yahoo.com</t>
        </is>
      </c>
      <c r="C12" s="158" t="inlineStr">
        <is>
          <t>Email Campaign</t>
        </is>
      </c>
      <c r="D12" s="158" t="inlineStr">
        <is>
          <t>2025-10-23 04:28</t>
        </is>
      </c>
      <c r="E12" s="158" t="inlineStr">
        <is>
          <t>School / Program</t>
        </is>
      </c>
      <c r="F12" s="184" t="inlineStr">
        <is>
          <t>Active</t>
        </is>
      </c>
    </row>
    <row r="13" ht="18" customHeight="1" s="114">
      <c r="A13" s="164" t="n">
        <v>10</v>
      </c>
      <c r="B13" s="175" t="inlineStr">
        <is>
          <t>james.wilson60@hotmail.com</t>
        </is>
      </c>
      <c r="C13" s="161" t="inlineStr">
        <is>
          <t>Instagram</t>
        </is>
      </c>
      <c r="D13" s="161" t="inlineStr">
        <is>
          <t>2025-09-07 04:28</t>
        </is>
      </c>
      <c r="E13" s="161" t="inlineStr">
        <is>
          <t>School / Program</t>
        </is>
      </c>
      <c r="F13" s="184" t="inlineStr">
        <is>
          <t>Active</t>
        </is>
      </c>
    </row>
    <row r="14" ht="18" customHeight="1" s="114">
      <c r="A14" s="167" t="n">
        <v>11</v>
      </c>
      <c r="B14" s="166" t="inlineStr">
        <is>
          <t>aisha.king36@outlook.com</t>
        </is>
      </c>
      <c r="C14" s="158" t="inlineStr">
        <is>
          <t>Instagram</t>
        </is>
      </c>
      <c r="D14" s="158" t="inlineStr">
        <is>
          <t>2025-06-15 04:28</t>
        </is>
      </c>
      <c r="E14" s="158" t="inlineStr">
        <is>
          <t>Personal / Team</t>
        </is>
      </c>
      <c r="F14" s="184" t="inlineStr">
        <is>
          <t>Active</t>
        </is>
      </c>
    </row>
    <row r="15" ht="18" customHeight="1" s="114">
      <c r="A15" s="164" t="n">
        <v>12</v>
      </c>
      <c r="B15" s="175" t="inlineStr">
        <is>
          <t>jalen.lewis83@outlook.com</t>
        </is>
      </c>
      <c r="C15" s="161" t="inlineStr">
        <is>
          <t>Trade Show</t>
        </is>
      </c>
      <c r="D15" s="161" t="inlineStr">
        <is>
          <t>2025-07-09 04:28</t>
        </is>
      </c>
      <c r="E15" s="161" t="inlineStr">
        <is>
          <t>School / Program</t>
        </is>
      </c>
      <c r="F15" s="184" t="inlineStr">
        <is>
          <t>Active</t>
        </is>
      </c>
    </row>
    <row r="16" ht="18" customHeight="1" s="114">
      <c r="A16" s="167" t="n">
        <v>13</v>
      </c>
      <c r="B16" s="166" t="inlineStr">
        <is>
          <t>aisha.allen97@outlook.com</t>
        </is>
      </c>
      <c r="C16" s="158" t="inlineStr">
        <is>
          <t>Website</t>
        </is>
      </c>
      <c r="D16" s="158" t="inlineStr">
        <is>
          <t>2025-06-07 04:28</t>
        </is>
      </c>
      <c r="E16" s="158" t="inlineStr">
        <is>
          <t>Reseller / Gym</t>
        </is>
      </c>
      <c r="F16" s="184" t="inlineStr">
        <is>
          <t>Active</t>
        </is>
      </c>
    </row>
    <row r="17" ht="18" customHeight="1" s="114">
      <c r="A17" s="164" t="n">
        <v>14</v>
      </c>
      <c r="B17" s="175" t="inlineStr">
        <is>
          <t>olivia.rodriguez97@icloud.com</t>
        </is>
      </c>
      <c r="C17" s="161" t="inlineStr">
        <is>
          <t>Instagram</t>
        </is>
      </c>
      <c r="D17" s="161" t="inlineStr">
        <is>
          <t>2025-05-31 04:28</t>
        </is>
      </c>
      <c r="E17" s="161" t="inlineStr">
        <is>
          <t>Reseller / Gym</t>
        </is>
      </c>
      <c r="F17" s="184" t="inlineStr">
        <is>
          <t>Active</t>
        </is>
      </c>
    </row>
    <row r="18" ht="18" customHeight="1" s="114">
      <c r="A18" s="167" t="n">
        <v>15</v>
      </c>
      <c r="B18" s="166" t="inlineStr">
        <is>
          <t>jalen.moore74@hotmail.com</t>
        </is>
      </c>
      <c r="C18" s="158" t="inlineStr">
        <is>
          <t>Email Campaign</t>
        </is>
      </c>
      <c r="D18" s="158" t="inlineStr">
        <is>
          <t>2025-11-28 04:28</t>
        </is>
      </c>
      <c r="E18" s="158" t="inlineStr">
        <is>
          <t>School / Program</t>
        </is>
      </c>
      <c r="F18" s="184" t="inlineStr">
        <is>
          <t>Active</t>
        </is>
      </c>
    </row>
    <row r="19" ht="18" customHeight="1" s="114">
      <c r="A19" s="164" t="n">
        <v>16</v>
      </c>
      <c r="B19" s="175" t="inlineStr">
        <is>
          <t>priya.rodriguez14@hotmail.com</t>
        </is>
      </c>
      <c r="C19" s="161" t="inlineStr">
        <is>
          <t>Referral</t>
        </is>
      </c>
      <c r="D19" s="161" t="inlineStr">
        <is>
          <t>2026-01-07 04:28</t>
        </is>
      </c>
      <c r="E19" s="161" t="inlineStr">
        <is>
          <t>Personal / Team</t>
        </is>
      </c>
      <c r="F19" s="184" t="inlineStr">
        <is>
          <t>Active</t>
        </is>
      </c>
    </row>
    <row r="20" ht="18" customHeight="1" s="114">
      <c r="A20" s="167" t="n">
        <v>17</v>
      </c>
      <c r="B20" s="166" t="inlineStr">
        <is>
          <t>maya.king52@hotmail.com</t>
        </is>
      </c>
      <c r="C20" s="158" t="inlineStr">
        <is>
          <t>Email Campaign</t>
        </is>
      </c>
      <c r="D20" s="158" t="inlineStr">
        <is>
          <t>2025-06-08 04:28</t>
        </is>
      </c>
      <c r="E20" s="158" t="inlineStr">
        <is>
          <t>Reseller / Gym</t>
        </is>
      </c>
      <c r="F20" s="184" t="inlineStr">
        <is>
          <t>Active</t>
        </is>
      </c>
    </row>
    <row r="21" ht="18" customHeight="1" s="114">
      <c r="A21" s="164" t="n">
        <v>18</v>
      </c>
      <c r="B21" s="175" t="inlineStr">
        <is>
          <t>sofia.clark76@hotmail.com</t>
        </is>
      </c>
      <c r="C21" s="161" t="inlineStr">
        <is>
          <t>Email Campaign</t>
        </is>
      </c>
      <c r="D21" s="161" t="inlineStr">
        <is>
          <t>2025-08-25 04:28</t>
        </is>
      </c>
      <c r="E21" s="161" t="inlineStr">
        <is>
          <t>Military / Veteran</t>
        </is>
      </c>
      <c r="F21" s="184" t="inlineStr">
        <is>
          <t>Active</t>
        </is>
      </c>
    </row>
    <row r="22" ht="18" customHeight="1" s="114">
      <c r="A22" s="167" t="n">
        <v>19</v>
      </c>
      <c r="B22" s="166" t="inlineStr">
        <is>
          <t>brandon.wright83@gmail.com</t>
        </is>
      </c>
      <c r="C22" s="158" t="inlineStr">
        <is>
          <t>Website</t>
        </is>
      </c>
      <c r="D22" s="158" t="inlineStr">
        <is>
          <t>2025-12-09 04:28</t>
        </is>
      </c>
      <c r="E22" s="158" t="inlineStr">
        <is>
          <t>Military / Veteran</t>
        </is>
      </c>
      <c r="F22" s="184" t="inlineStr">
        <is>
          <t>Active</t>
        </is>
      </c>
    </row>
    <row r="23" ht="18" customHeight="1" s="114">
      <c r="A23" s="164" t="n">
        <v>20</v>
      </c>
      <c r="B23" s="175" t="inlineStr">
        <is>
          <t>aisha.johnson62@hotmail.com</t>
        </is>
      </c>
      <c r="C23" s="161" t="inlineStr">
        <is>
          <t>Website</t>
        </is>
      </c>
      <c r="D23" s="161" t="inlineStr">
        <is>
          <t>2025-09-24 04:28</t>
        </is>
      </c>
      <c r="E23" s="161" t="inlineStr">
        <is>
          <t>Personal / Team</t>
        </is>
      </c>
      <c r="F23" s="184" t="inlineStr">
        <is>
          <t>Active</t>
        </is>
      </c>
    </row>
    <row r="24" ht="18" customHeight="1" s="114">
      <c r="A24" s="167" t="n">
        <v>21</v>
      </c>
      <c r="B24" s="166" t="inlineStr">
        <is>
          <t>tyler.scott23@gmail.com</t>
        </is>
      </c>
      <c r="C24" s="158" t="inlineStr">
        <is>
          <t>Instagram</t>
        </is>
      </c>
      <c r="D24" s="158" t="inlineStr">
        <is>
          <t>2026-01-16 04:28</t>
        </is>
      </c>
      <c r="E24" s="158" t="inlineStr">
        <is>
          <t>School / Program</t>
        </is>
      </c>
      <c r="F24" s="184" t="inlineStr">
        <is>
          <t>Active</t>
        </is>
      </c>
    </row>
    <row r="25" ht="18" customHeight="1" s="114">
      <c r="A25" s="164" t="n">
        <v>22</v>
      </c>
      <c r="B25" s="175" t="inlineStr">
        <is>
          <t>zara.wright19@hotmail.com</t>
        </is>
      </c>
      <c r="C25" s="161" t="inlineStr">
        <is>
          <t>Instagram</t>
        </is>
      </c>
      <c r="D25" s="161" t="inlineStr">
        <is>
          <t>2025-05-14 04:28</t>
        </is>
      </c>
      <c r="E25" s="161" t="inlineStr">
        <is>
          <t>Military / Veteran</t>
        </is>
      </c>
      <c r="F25" s="184" t="inlineStr">
        <is>
          <t>Active</t>
        </is>
      </c>
    </row>
    <row r="26" ht="18" customHeight="1" s="114">
      <c r="A26" s="167" t="n">
        <v>23</v>
      </c>
      <c r="B26" s="166" t="inlineStr">
        <is>
          <t>brandon.jackson43@gmail.com</t>
        </is>
      </c>
      <c r="C26" s="158" t="inlineStr">
        <is>
          <t>Referral</t>
        </is>
      </c>
      <c r="D26" s="158" t="inlineStr">
        <is>
          <t>2025-12-18 04:28</t>
        </is>
      </c>
      <c r="E26" s="158" t="inlineStr">
        <is>
          <t>Reseller / Gym</t>
        </is>
      </c>
      <c r="F26" s="184" t="inlineStr">
        <is>
          <t>Active</t>
        </is>
      </c>
    </row>
    <row r="27" ht="18" customHeight="1" s="114">
      <c r="A27" s="164" t="n">
        <v>24</v>
      </c>
      <c r="B27" s="175" t="inlineStr">
        <is>
          <t>tyrese.moore66@yahoo.com</t>
        </is>
      </c>
      <c r="C27" s="161" t="inlineStr">
        <is>
          <t>Trade Show</t>
        </is>
      </c>
      <c r="D27" s="161" t="inlineStr">
        <is>
          <t>2025-07-02 04:28</t>
        </is>
      </c>
      <c r="E27" s="161" t="inlineStr">
        <is>
          <t>Military / Veteran</t>
        </is>
      </c>
      <c r="F27" s="184" t="inlineStr">
        <is>
          <t>Active</t>
        </is>
      </c>
    </row>
    <row r="28" ht="18" customHeight="1" s="114">
      <c r="A28" s="167" t="n">
        <v>25</v>
      </c>
      <c r="B28" s="166" t="inlineStr">
        <is>
          <t>zara.hall42@hotmail.com</t>
        </is>
      </c>
      <c r="C28" s="158" t="inlineStr">
        <is>
          <t>Direct Inquiry</t>
        </is>
      </c>
      <c r="D28" s="158" t="inlineStr">
        <is>
          <t>2025-12-04 04:28</t>
        </is>
      </c>
      <c r="E28" s="158" t="inlineStr">
        <is>
          <t>School / Program</t>
        </is>
      </c>
      <c r="F28" s="184" t="inlineStr">
        <is>
          <t>Active</t>
        </is>
      </c>
    </row>
    <row r="29" ht="18" customHeight="1" s="114">
      <c r="A29" s="164" t="n">
        <v>26</v>
      </c>
      <c r="B29" s="175" t="inlineStr">
        <is>
          <t>priya.harris62@icloud.com</t>
        </is>
      </c>
      <c r="C29" s="161" t="inlineStr">
        <is>
          <t>Trade Show</t>
        </is>
      </c>
      <c r="D29" s="161" t="inlineStr">
        <is>
          <t>2025-08-22 04:28</t>
        </is>
      </c>
      <c r="E29" s="161" t="inlineStr">
        <is>
          <t>Military / Veteran</t>
        </is>
      </c>
      <c r="F29" s="184" t="inlineStr">
        <is>
          <t>Active</t>
        </is>
      </c>
    </row>
    <row r="30" ht="18" customHeight="1" s="114">
      <c r="A30" s="167" t="n">
        <v>27</v>
      </c>
      <c r="B30" s="166" t="inlineStr">
        <is>
          <t>tyrese.allen6@hotmail.com</t>
        </is>
      </c>
      <c r="C30" s="158" t="inlineStr">
        <is>
          <t>Instagram</t>
        </is>
      </c>
      <c r="D30" s="158" t="inlineStr">
        <is>
          <t>2025-06-23 04:28</t>
        </is>
      </c>
      <c r="E30" s="158" t="inlineStr">
        <is>
          <t>Reseller / Gym</t>
        </is>
      </c>
      <c r="F30" s="184" t="inlineStr">
        <is>
          <t>Active</t>
        </is>
      </c>
    </row>
    <row r="31" ht="18" customHeight="1" s="114">
      <c r="A31" s="164" t="n">
        <v>28</v>
      </c>
      <c r="B31" s="175" t="inlineStr">
        <is>
          <t>malik.king69@icloud.com</t>
        </is>
      </c>
      <c r="C31" s="161" t="inlineStr">
        <is>
          <t>Website</t>
        </is>
      </c>
      <c r="D31" s="161" t="inlineStr">
        <is>
          <t>2025-11-10 04:28</t>
        </is>
      </c>
      <c r="E31" s="161" t="inlineStr">
        <is>
          <t>Personal / Team</t>
        </is>
      </c>
      <c r="F31" s="184" t="inlineStr">
        <is>
          <t>Active</t>
        </is>
      </c>
    </row>
    <row r="32" ht="18" customHeight="1" s="114">
      <c r="A32" s="167" t="n">
        <v>29</v>
      </c>
      <c r="B32" s="166" t="inlineStr">
        <is>
          <t>christian.lewis25@gmail.com</t>
        </is>
      </c>
      <c r="C32" s="158" t="inlineStr">
        <is>
          <t>Instagram</t>
        </is>
      </c>
      <c r="D32" s="158" t="inlineStr">
        <is>
          <t>2026-01-22 04:28</t>
        </is>
      </c>
      <c r="E32" s="158" t="inlineStr">
        <is>
          <t>Personal / Team</t>
        </is>
      </c>
      <c r="F32" s="184" t="inlineStr">
        <is>
          <t>Active</t>
        </is>
      </c>
    </row>
    <row r="33" ht="18" customHeight="1" s="114">
      <c r="A33" s="164" t="n">
        <v>30</v>
      </c>
      <c r="B33" s="175" t="inlineStr">
        <is>
          <t>elijah.davis41@yahoo.com</t>
        </is>
      </c>
      <c r="C33" s="161" t="inlineStr">
        <is>
          <t>Referral</t>
        </is>
      </c>
      <c r="D33" s="161" t="inlineStr">
        <is>
          <t>2025-08-31 04:28</t>
        </is>
      </c>
      <c r="E33" s="161" t="inlineStr">
        <is>
          <t>Personal / Team</t>
        </is>
      </c>
      <c r="F33" s="184" t="inlineStr">
        <is>
          <t>Active</t>
        </is>
      </c>
    </row>
    <row r="34" ht="18" customHeight="1" s="114">
      <c r="A34" s="167" t="n">
        <v>31</v>
      </c>
      <c r="B34" s="166" t="inlineStr">
        <is>
          <t>derek.brown72@icloud.com</t>
        </is>
      </c>
      <c r="C34" s="158" t="inlineStr">
        <is>
          <t>Referral</t>
        </is>
      </c>
      <c r="D34" s="158" t="inlineStr">
        <is>
          <t>2025-12-23 04:28</t>
        </is>
      </c>
      <c r="E34" s="158" t="inlineStr">
        <is>
          <t>Military / Veteran</t>
        </is>
      </c>
      <c r="F34" s="184" t="inlineStr">
        <is>
          <t>Active</t>
        </is>
      </c>
    </row>
    <row r="35" ht="18" customHeight="1" s="114">
      <c r="A35" s="164" t="n">
        <v>32</v>
      </c>
      <c r="B35" s="175" t="inlineStr">
        <is>
          <t>carlos.brown47@outlook.com</t>
        </is>
      </c>
      <c r="C35" s="161" t="inlineStr">
        <is>
          <t>Website</t>
        </is>
      </c>
      <c r="D35" s="161" t="inlineStr">
        <is>
          <t>2025-10-26 04:28</t>
        </is>
      </c>
      <c r="E35" s="161" t="inlineStr">
        <is>
          <t>Personal / Team</t>
        </is>
      </c>
      <c r="F35" s="184" t="inlineStr">
        <is>
          <t>Active</t>
        </is>
      </c>
    </row>
    <row r="36" ht="18" customHeight="1" s="114">
      <c r="A36" s="167" t="n">
        <v>33</v>
      </c>
      <c r="B36" s="166" t="inlineStr">
        <is>
          <t>olivia.allen87@icloud.com</t>
        </is>
      </c>
      <c r="C36" s="158" t="inlineStr">
        <is>
          <t>Direct Inquiry</t>
        </is>
      </c>
      <c r="D36" s="158" t="inlineStr">
        <is>
          <t>2025-12-11 04:28</t>
        </is>
      </c>
      <c r="E36" s="158" t="inlineStr">
        <is>
          <t>Reseller / Gym</t>
        </is>
      </c>
      <c r="F36" s="184" t="inlineStr">
        <is>
          <t>Active</t>
        </is>
      </c>
    </row>
    <row r="37" ht="18" customHeight="1" s="114">
      <c r="A37" s="164" t="n">
        <v>34</v>
      </c>
      <c r="B37" s="175" t="inlineStr">
        <is>
          <t>tyrese.hall6@hotmail.com</t>
        </is>
      </c>
      <c r="C37" s="161" t="inlineStr">
        <is>
          <t>Email Campaign</t>
        </is>
      </c>
      <c r="D37" s="161" t="inlineStr">
        <is>
          <t>2025-09-20 04:28</t>
        </is>
      </c>
      <c r="E37" s="161" t="inlineStr">
        <is>
          <t>Military / Veteran</t>
        </is>
      </c>
      <c r="F37" s="184" t="inlineStr">
        <is>
          <t>Active</t>
        </is>
      </c>
    </row>
    <row r="38" ht="18" customHeight="1" s="114">
      <c r="A38" s="167" t="n">
        <v>35</v>
      </c>
      <c r="B38" s="166" t="inlineStr">
        <is>
          <t>brianna.thompson61@gmail.com</t>
        </is>
      </c>
      <c r="C38" s="158" t="inlineStr">
        <is>
          <t>Instagram</t>
        </is>
      </c>
      <c r="D38" s="158" t="inlineStr">
        <is>
          <t>2025-12-11 04:28</t>
        </is>
      </c>
      <c r="E38" s="158" t="inlineStr">
        <is>
          <t>Personal / Team</t>
        </is>
      </c>
      <c r="F38" s="184" t="inlineStr">
        <is>
          <t>Active</t>
        </is>
      </c>
    </row>
    <row r="39" ht="18" customHeight="1" s="114">
      <c r="A39" s="164" t="n">
        <v>36</v>
      </c>
      <c r="B39" s="175" t="inlineStr">
        <is>
          <t>simone.thompson86@yahoo.com</t>
        </is>
      </c>
      <c r="C39" s="161" t="inlineStr">
        <is>
          <t>Trade Show</t>
        </is>
      </c>
      <c r="D39" s="161" t="inlineStr">
        <is>
          <t>2025-05-13 04:28</t>
        </is>
      </c>
      <c r="E39" s="161" t="inlineStr">
        <is>
          <t>Personal / Team</t>
        </is>
      </c>
      <c r="F39" s="184" t="inlineStr">
        <is>
          <t>Active</t>
        </is>
      </c>
    </row>
    <row r="40" ht="18" customHeight="1" s="114">
      <c r="A40" s="167" t="n">
        <v>37</v>
      </c>
      <c r="B40" s="166" t="inlineStr">
        <is>
          <t>derek.brown12@hotmail.com</t>
        </is>
      </c>
      <c r="C40" s="158" t="inlineStr">
        <is>
          <t>Referral</t>
        </is>
      </c>
      <c r="D40" s="158" t="inlineStr">
        <is>
          <t>2025-06-03 04:28</t>
        </is>
      </c>
      <c r="E40" s="158" t="inlineStr">
        <is>
          <t>School / Program</t>
        </is>
      </c>
      <c r="F40" s="184" t="inlineStr">
        <is>
          <t>Active</t>
        </is>
      </c>
    </row>
    <row r="41" ht="18" customHeight="1" s="114">
      <c r="A41" s="164" t="n">
        <v>38</v>
      </c>
      <c r="B41" s="175" t="inlineStr">
        <is>
          <t>james.taylor61@gmail.com</t>
        </is>
      </c>
      <c r="C41" s="161" t="inlineStr">
        <is>
          <t>Email Campaign</t>
        </is>
      </c>
      <c r="D41" s="161" t="inlineStr">
        <is>
          <t>2026-01-04 04:28</t>
        </is>
      </c>
      <c r="E41" s="161" t="inlineStr">
        <is>
          <t>School / Program</t>
        </is>
      </c>
      <c r="F41" s="184" t="inlineStr">
        <is>
          <t>Active</t>
        </is>
      </c>
    </row>
    <row r="42" ht="18" customHeight="1" s="114">
      <c r="A42" s="167" t="n">
        <v>39</v>
      </c>
      <c r="B42" s="166" t="inlineStr">
        <is>
          <t>aaliyah.robinson51@yahoo.com</t>
        </is>
      </c>
      <c r="C42" s="158" t="inlineStr">
        <is>
          <t>Instagram</t>
        </is>
      </c>
      <c r="D42" s="158" t="inlineStr">
        <is>
          <t>2025-11-06 04:28</t>
        </is>
      </c>
      <c r="E42" s="158" t="inlineStr">
        <is>
          <t>School / Program</t>
        </is>
      </c>
      <c r="F42" s="184" t="inlineStr">
        <is>
          <t>Active</t>
        </is>
      </c>
    </row>
    <row r="43" ht="18" customHeight="1" s="114">
      <c r="A43" s="164" t="n">
        <v>40</v>
      </c>
      <c r="B43" s="175" t="inlineStr">
        <is>
          <t>priya.rodriguez36@outlook.com</t>
        </is>
      </c>
      <c r="C43" s="161" t="inlineStr">
        <is>
          <t>Trade Show</t>
        </is>
      </c>
      <c r="D43" s="161" t="inlineStr">
        <is>
          <t>2025-07-04 04:28</t>
        </is>
      </c>
      <c r="E43" s="161" t="inlineStr">
        <is>
          <t>Personal / Team</t>
        </is>
      </c>
      <c r="F43" s="184" t="inlineStr">
        <is>
          <t>Active</t>
        </is>
      </c>
    </row>
    <row r="44" ht="18" customHeight="1" s="114">
      <c r="A44" s="167" t="n">
        <v>41</v>
      </c>
      <c r="B44" s="166" t="inlineStr">
        <is>
          <t>malik.hall13@outlook.com</t>
        </is>
      </c>
      <c r="C44" s="158" t="inlineStr">
        <is>
          <t>Email Campaign</t>
        </is>
      </c>
      <c r="D44" s="158" t="inlineStr">
        <is>
          <t>2025-06-19 04:28</t>
        </is>
      </c>
      <c r="E44" s="158" t="inlineStr">
        <is>
          <t>Reseller / Gym</t>
        </is>
      </c>
      <c r="F44" s="184" t="inlineStr">
        <is>
          <t>Active</t>
        </is>
      </c>
    </row>
    <row r="45" ht="18" customHeight="1" s="114">
      <c r="A45" s="164" t="n">
        <v>42</v>
      </c>
      <c r="B45" s="175" t="inlineStr">
        <is>
          <t>olivia.johnson41@yahoo.com</t>
        </is>
      </c>
      <c r="C45" s="161" t="inlineStr">
        <is>
          <t>Website</t>
        </is>
      </c>
      <c r="D45" s="161" t="inlineStr">
        <is>
          <t>2026-03-01 04:28</t>
        </is>
      </c>
      <c r="E45" s="161" t="inlineStr">
        <is>
          <t>School / Program</t>
        </is>
      </c>
      <c r="F45" s="184" t="inlineStr">
        <is>
          <t>Active</t>
        </is>
      </c>
    </row>
    <row r="46" ht="18" customHeight="1" s="114">
      <c r="A46" s="167" t="n">
        <v>43</v>
      </c>
      <c r="B46" s="166" t="inlineStr">
        <is>
          <t>zara.robinson44@gmail.com</t>
        </is>
      </c>
      <c r="C46" s="158" t="inlineStr">
        <is>
          <t>Email Campaign</t>
        </is>
      </c>
      <c r="D46" s="158" t="inlineStr">
        <is>
          <t>2025-07-22 04:28</t>
        </is>
      </c>
      <c r="E46" s="158" t="inlineStr">
        <is>
          <t>Personal / Team</t>
        </is>
      </c>
      <c r="F46" s="184" t="inlineStr">
        <is>
          <t>Active</t>
        </is>
      </c>
    </row>
    <row r="47" ht="18" customHeight="1" s="114">
      <c r="A47" s="164" t="n">
        <v>44</v>
      </c>
      <c r="B47" s="175" t="inlineStr">
        <is>
          <t>olivia.johnson45@gmail.com</t>
        </is>
      </c>
      <c r="C47" s="161" t="inlineStr">
        <is>
          <t>Email Campaign</t>
        </is>
      </c>
      <c r="D47" s="161" t="inlineStr">
        <is>
          <t>2025-12-07 04:28</t>
        </is>
      </c>
      <c r="E47" s="161" t="inlineStr">
        <is>
          <t>School / Program</t>
        </is>
      </c>
      <c r="F47" s="184" t="inlineStr">
        <is>
          <t>Active</t>
        </is>
      </c>
    </row>
    <row r="48" ht="18" customHeight="1" s="114">
      <c r="A48" s="167" t="n">
        <v>45</v>
      </c>
      <c r="B48" s="166" t="inlineStr">
        <is>
          <t>brandon.thompson46@hotmail.com</t>
        </is>
      </c>
      <c r="C48" s="158" t="inlineStr">
        <is>
          <t>Referral</t>
        </is>
      </c>
      <c r="D48" s="158" t="inlineStr">
        <is>
          <t>2026-02-11 04:28</t>
        </is>
      </c>
      <c r="E48" s="158" t="inlineStr">
        <is>
          <t>Military / Veteran</t>
        </is>
      </c>
      <c r="F48" s="184" t="inlineStr">
        <is>
          <t>Active</t>
        </is>
      </c>
    </row>
    <row r="49" ht="18" customHeight="1" s="114">
      <c r="A49" s="164" t="n">
        <v>46</v>
      </c>
      <c r="B49" s="175" t="inlineStr">
        <is>
          <t>tyler.davis32@gmail.com</t>
        </is>
      </c>
      <c r="C49" s="161" t="inlineStr">
        <is>
          <t>Direct Inquiry</t>
        </is>
      </c>
      <c r="D49" s="161" t="inlineStr">
        <is>
          <t>2026-02-02 04:28</t>
        </is>
      </c>
      <c r="E49" s="161" t="inlineStr">
        <is>
          <t>Reseller / Gym</t>
        </is>
      </c>
      <c r="F49" s="184" t="inlineStr">
        <is>
          <t>Active</t>
        </is>
      </c>
    </row>
    <row r="50" ht="18" customHeight="1" s="114">
      <c r="A50" s="167" t="n">
        <v>47</v>
      </c>
      <c r="B50" s="166" t="inlineStr">
        <is>
          <t>zara.robinson39@gmail.com</t>
        </is>
      </c>
      <c r="C50" s="158" t="inlineStr">
        <is>
          <t>Email Campaign</t>
        </is>
      </c>
      <c r="D50" s="158" t="inlineStr">
        <is>
          <t>2026-01-10 04:28</t>
        </is>
      </c>
      <c r="E50" s="158" t="inlineStr">
        <is>
          <t>Personal / Team</t>
        </is>
      </c>
      <c r="F50" s="184" t="inlineStr">
        <is>
          <t>Active</t>
        </is>
      </c>
    </row>
    <row r="51" ht="18" customHeight="1" s="114">
      <c r="A51" s="164" t="n">
        <v>48</v>
      </c>
      <c r="B51" s="175" t="inlineStr">
        <is>
          <t>kevin.davis47@yahoo.com</t>
        </is>
      </c>
      <c r="C51" s="161" t="inlineStr">
        <is>
          <t>Direct Inquiry</t>
        </is>
      </c>
      <c r="D51" s="161" t="inlineStr">
        <is>
          <t>2026-01-08 04:28</t>
        </is>
      </c>
      <c r="E51" s="161" t="inlineStr">
        <is>
          <t>Military / Veteran</t>
        </is>
      </c>
      <c r="F51" s="184" t="inlineStr">
        <is>
          <t>Active</t>
        </is>
      </c>
    </row>
    <row r="52" ht="18" customHeight="1" s="114">
      <c r="A52" s="167" t="n">
        <v>49</v>
      </c>
      <c r="B52" s="166" t="inlineStr">
        <is>
          <t>zara.jackson76@yahoo.com</t>
        </is>
      </c>
      <c r="C52" s="158" t="inlineStr">
        <is>
          <t>Referral</t>
        </is>
      </c>
      <c r="D52" s="158" t="inlineStr">
        <is>
          <t>2025-11-26 04:28</t>
        </is>
      </c>
      <c r="E52" s="158" t="inlineStr">
        <is>
          <t>Military / Veteran</t>
        </is>
      </c>
      <c r="F52" s="184" t="inlineStr">
        <is>
          <t>Active</t>
        </is>
      </c>
    </row>
    <row r="53" ht="18" customHeight="1" s="114">
      <c r="A53" s="164" t="n">
        <v>50</v>
      </c>
      <c r="B53" s="175" t="inlineStr">
        <is>
          <t>keisha.young77@gmail.com</t>
        </is>
      </c>
      <c r="C53" s="161" t="inlineStr">
        <is>
          <t>Website</t>
        </is>
      </c>
      <c r="D53" s="161" t="inlineStr">
        <is>
          <t>2025-12-09 04:28</t>
        </is>
      </c>
      <c r="E53" s="161" t="inlineStr">
        <is>
          <t>Reseller / Gym</t>
        </is>
      </c>
      <c r="F53" s="184" t="inlineStr">
        <is>
          <t>Active</t>
        </is>
      </c>
    </row>
    <row r="54" ht="18" customHeight="1" s="114">
      <c r="A54" s="167" t="n">
        <v>51</v>
      </c>
      <c r="B54" s="166" t="inlineStr">
        <is>
          <t>kevin.wilson58@hotmail.com</t>
        </is>
      </c>
      <c r="C54" s="158" t="inlineStr">
        <is>
          <t>Email Campaign</t>
        </is>
      </c>
      <c r="D54" s="158" t="inlineStr">
        <is>
          <t>2025-11-10 04:28</t>
        </is>
      </c>
      <c r="E54" s="158" t="inlineStr">
        <is>
          <t>Personal / Team</t>
        </is>
      </c>
      <c r="F54" s="184" t="inlineStr">
        <is>
          <t>Active</t>
        </is>
      </c>
    </row>
    <row r="55" ht="18" customHeight="1" s="114">
      <c r="A55" s="164" t="n">
        <v>52</v>
      </c>
      <c r="B55" s="175" t="inlineStr">
        <is>
          <t>malik.martinez64@yahoo.com</t>
        </is>
      </c>
      <c r="C55" s="161" t="inlineStr">
        <is>
          <t>Email Campaign</t>
        </is>
      </c>
      <c r="D55" s="161" t="inlineStr">
        <is>
          <t>2025-09-10 04:28</t>
        </is>
      </c>
      <c r="E55" s="161" t="inlineStr">
        <is>
          <t>Personal / Team</t>
        </is>
      </c>
      <c r="F55" s="184" t="inlineStr">
        <is>
          <t>Active</t>
        </is>
      </c>
    </row>
    <row r="56" ht="17" customHeight="1" s="114">
      <c r="A56" s="241" t="n">
        <v>53</v>
      </c>
      <c r="B56" s="242" t="inlineStr">
        <is>
          <t>newlead@testgym.com</t>
        </is>
      </c>
      <c r="C56" s="243" t="inlineStr">
        <is>
          <t>Website</t>
        </is>
      </c>
      <c r="D56" s="243" t="inlineStr">
        <is>
          <t>2026-03-06 05:13</t>
        </is>
      </c>
      <c r="E56" s="243" t="inlineStr">
        <is>
          <t>Reseller / Gym</t>
        </is>
      </c>
      <c r="F56" s="244" t="inlineStr">
        <is>
          <t>Active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3" min="1" max="1"/>
    <col width="12" customWidth="1" style="113" min="2" max="2"/>
    <col width="14" customWidth="1" style="113" min="3" max="3"/>
    <col width="16" customWidth="1" style="113" min="4" max="4"/>
    <col width="17" customWidth="1" style="113" min="5" max="5"/>
    <col width="16" customWidth="1" style="113" min="6" max="6"/>
    <col width="18" customWidth="1" style="113" min="7" max="7"/>
    <col width="12" customWidth="1" style="113" min="8" max="8"/>
  </cols>
  <sheetData>
    <row r="1" ht="42" customHeight="1" s="114">
      <c r="A1" s="115" t="inlineStr">
        <is>
          <t>KC  KILACOMBS - MONTHLY REVENUE TRACKER</t>
        </is>
      </c>
    </row>
    <row r="2" ht="18" customHeight="1" s="114">
      <c r="A2" s="116" t="inlineStr">
        <is>
          <t>Full-year P&amp;L view  |  Hardcoded values - update as actuals come in</t>
        </is>
      </c>
    </row>
    <row r="4" ht="25.5" customHeight="1" s="114">
      <c r="A4" s="134" t="inlineStr">
        <is>
          <t>MONTHLY BREAKDOWN</t>
        </is>
      </c>
    </row>
    <row r="5" ht="19.5" customHeight="1" s="114">
      <c r="A5" s="135" t="inlineStr">
        <is>
          <t>Month</t>
        </is>
      </c>
      <c r="B5" s="135" t="inlineStr">
        <is>
          <t>New Orders</t>
        </is>
      </c>
      <c r="C5" s="135" t="inlineStr">
        <is>
          <t>Packs Sold</t>
        </is>
      </c>
      <c r="D5" s="135" t="inlineStr">
        <is>
          <t>Gross Revenue</t>
        </is>
      </c>
      <c r="E5" s="135" t="inlineStr">
        <is>
          <t>Discounts Given</t>
        </is>
      </c>
      <c r="F5" s="135" t="inlineStr">
        <is>
          <t>Net Revenue</t>
        </is>
      </c>
      <c r="G5" s="135" t="inlineStr">
        <is>
          <t>Avg Order Value</t>
        </is>
      </c>
      <c r="H5" s="135" t="inlineStr">
        <is>
          <t>MoM Growth</t>
        </is>
      </c>
    </row>
    <row r="6" ht="18" customHeight="1" s="114">
      <c r="A6" s="165" t="inlineStr">
        <is>
          <t>Jan</t>
        </is>
      </c>
      <c r="B6" s="142" t="n">
        <v>2</v>
      </c>
      <c r="C6" s="143" t="n">
        <v>1400</v>
      </c>
      <c r="D6" s="145" t="n">
        <v>4200</v>
      </c>
      <c r="E6" s="233" t="n">
        <v>378</v>
      </c>
      <c r="F6" s="172" t="n">
        <v>3822</v>
      </c>
      <c r="G6" s="145" t="n">
        <v>1911</v>
      </c>
      <c r="H6" s="167" t="inlineStr">
        <is>
          <t>-</t>
        </is>
      </c>
    </row>
    <row r="7" ht="18" customHeight="1" s="114">
      <c r="A7" s="174" t="inlineStr">
        <is>
          <t>Feb</t>
        </is>
      </c>
      <c r="B7" s="137" t="n">
        <v>3</v>
      </c>
      <c r="C7" s="138" t="n">
        <v>2100</v>
      </c>
      <c r="D7" s="140" t="n">
        <v>6300</v>
      </c>
      <c r="E7" s="234" t="n">
        <v>567</v>
      </c>
      <c r="F7" s="180" t="n">
        <v>5733</v>
      </c>
      <c r="G7" s="140" t="n">
        <v>1911</v>
      </c>
      <c r="H7" s="235" t="n">
        <v>0.5</v>
      </c>
    </row>
    <row r="8" ht="18" customHeight="1" s="114">
      <c r="A8" s="165" t="inlineStr">
        <is>
          <t>Mar</t>
        </is>
      </c>
      <c r="B8" s="142" t="n">
        <v>3</v>
      </c>
      <c r="C8" s="143" t="n">
        <v>2100</v>
      </c>
      <c r="D8" s="145" t="n">
        <v>6300</v>
      </c>
      <c r="E8" s="233" t="n">
        <v>567</v>
      </c>
      <c r="F8" s="172" t="n">
        <v>5733</v>
      </c>
      <c r="G8" s="145" t="n">
        <v>1911</v>
      </c>
      <c r="H8" s="236" t="n">
        <v>0</v>
      </c>
    </row>
    <row r="9" ht="18" customHeight="1" s="114">
      <c r="A9" s="174" t="inlineStr">
        <is>
          <t>Apr</t>
        </is>
      </c>
      <c r="B9" s="137" t="n">
        <v>4</v>
      </c>
      <c r="C9" s="138" t="n">
        <v>2800</v>
      </c>
      <c r="D9" s="140" t="n">
        <v>8400</v>
      </c>
      <c r="E9" s="234" t="n">
        <v>756</v>
      </c>
      <c r="F9" s="180" t="n">
        <v>7644</v>
      </c>
      <c r="G9" s="140" t="n">
        <v>1911</v>
      </c>
      <c r="H9" s="235" t="n">
        <v>0.333333333333333</v>
      </c>
    </row>
    <row r="10" ht="18" customHeight="1" s="114">
      <c r="A10" s="165" t="inlineStr">
        <is>
          <t>May</t>
        </is>
      </c>
      <c r="B10" s="142" t="n">
        <v>5</v>
      </c>
      <c r="C10" s="143" t="n">
        <v>3500</v>
      </c>
      <c r="D10" s="145" t="n">
        <v>10500</v>
      </c>
      <c r="E10" s="233" t="n">
        <v>945</v>
      </c>
      <c r="F10" s="172" t="n">
        <v>9555</v>
      </c>
      <c r="G10" s="145" t="n">
        <v>1911</v>
      </c>
      <c r="H10" s="236" t="n">
        <v>0.25</v>
      </c>
    </row>
    <row r="11" ht="18" customHeight="1" s="114">
      <c r="A11" s="174" t="inlineStr">
        <is>
          <t>Jun</t>
        </is>
      </c>
      <c r="B11" s="137" t="n">
        <v>5</v>
      </c>
      <c r="C11" s="138" t="n">
        <v>3500</v>
      </c>
      <c r="D11" s="140" t="n">
        <v>10500</v>
      </c>
      <c r="E11" s="234" t="n">
        <v>945</v>
      </c>
      <c r="F11" s="180" t="n">
        <v>9555</v>
      </c>
      <c r="G11" s="140" t="n">
        <v>1911</v>
      </c>
      <c r="H11" s="235" t="n">
        <v>0</v>
      </c>
    </row>
    <row r="12" ht="18" customHeight="1" s="114">
      <c r="A12" s="165" t="inlineStr">
        <is>
          <t>Jul</t>
        </is>
      </c>
      <c r="B12" s="142" t="n">
        <v>6</v>
      </c>
      <c r="C12" s="143" t="n">
        <v>4200</v>
      </c>
      <c r="D12" s="145" t="n">
        <v>12600</v>
      </c>
      <c r="E12" s="233" t="n">
        <v>1134</v>
      </c>
      <c r="F12" s="172" t="n">
        <v>11466</v>
      </c>
      <c r="G12" s="145" t="n">
        <v>1911</v>
      </c>
      <c r="H12" s="236" t="n">
        <v>0.2</v>
      </c>
    </row>
    <row r="13" ht="18" customHeight="1" s="114">
      <c r="A13" s="174" t="inlineStr">
        <is>
          <t>Aug</t>
        </is>
      </c>
      <c r="B13" s="137" t="n">
        <v>5</v>
      </c>
      <c r="C13" s="138" t="n">
        <v>3500</v>
      </c>
      <c r="D13" s="140" t="n">
        <v>10500</v>
      </c>
      <c r="E13" s="234" t="n">
        <v>945</v>
      </c>
      <c r="F13" s="180" t="n">
        <v>9555</v>
      </c>
      <c r="G13" s="140" t="n">
        <v>1911</v>
      </c>
      <c r="H13" s="237" t="n">
        <v>-0.166666666666667</v>
      </c>
    </row>
    <row r="14" ht="18" customHeight="1" s="114">
      <c r="A14" s="165" t="inlineStr">
        <is>
          <t>Sep</t>
        </is>
      </c>
      <c r="B14" s="142" t="n">
        <v>7</v>
      </c>
      <c r="C14" s="143" t="n">
        <v>4900</v>
      </c>
      <c r="D14" s="145" t="n">
        <v>14700</v>
      </c>
      <c r="E14" s="233" t="n">
        <v>1323</v>
      </c>
      <c r="F14" s="172" t="n">
        <v>13377</v>
      </c>
      <c r="G14" s="145" t="n">
        <v>1911</v>
      </c>
      <c r="H14" s="236" t="n">
        <v>0.4</v>
      </c>
    </row>
    <row r="15" ht="18" customHeight="1" s="114">
      <c r="A15" s="174" t="inlineStr">
        <is>
          <t>Oct</t>
        </is>
      </c>
      <c r="B15" s="137" t="n">
        <v>8</v>
      </c>
      <c r="C15" s="138" t="n">
        <v>5600</v>
      </c>
      <c r="D15" s="140" t="n">
        <v>16800</v>
      </c>
      <c r="E15" s="234" t="n">
        <v>1512</v>
      </c>
      <c r="F15" s="180" t="n">
        <v>15288</v>
      </c>
      <c r="G15" s="140" t="n">
        <v>1911</v>
      </c>
      <c r="H15" s="235" t="n">
        <v>0.142857142857143</v>
      </c>
    </row>
    <row r="16" ht="18" customHeight="1" s="114">
      <c r="A16" s="165" t="inlineStr">
        <is>
          <t>Nov</t>
        </is>
      </c>
      <c r="B16" s="142" t="n">
        <v>9</v>
      </c>
      <c r="C16" s="143" t="n">
        <v>6300</v>
      </c>
      <c r="D16" s="145" t="n">
        <v>18900</v>
      </c>
      <c r="E16" s="233" t="n">
        <v>1701</v>
      </c>
      <c r="F16" s="172" t="n">
        <v>17199</v>
      </c>
      <c r="G16" s="145" t="n">
        <v>1911</v>
      </c>
      <c r="H16" s="236" t="n">
        <v>0.125</v>
      </c>
    </row>
    <row r="17" ht="18" customHeight="1" s="114">
      <c r="A17" s="174" t="inlineStr">
        <is>
          <t>Dec</t>
        </is>
      </c>
      <c r="B17" s="137" t="n">
        <v>11</v>
      </c>
      <c r="C17" s="138" t="n">
        <v>7700</v>
      </c>
      <c r="D17" s="140" t="n">
        <v>23100</v>
      </c>
      <c r="E17" s="234" t="n">
        <v>2079</v>
      </c>
      <c r="F17" s="180" t="n">
        <v>21021</v>
      </c>
      <c r="G17" s="140" t="n">
        <v>1911</v>
      </c>
      <c r="H17" s="235" t="n">
        <v>0.222222222222222</v>
      </c>
    </row>
    <row r="18" ht="24" customHeight="1" s="114">
      <c r="A18" s="190" t="inlineStr">
        <is>
          <t>FULL YEAR</t>
        </is>
      </c>
      <c r="B18" s="238" t="n">
        <v>68</v>
      </c>
      <c r="C18" s="192" t="n">
        <v>47600</v>
      </c>
      <c r="D18" s="193" t="n">
        <v>142800</v>
      </c>
      <c r="E18" s="193" t="n">
        <v>12852</v>
      </c>
      <c r="F18" s="193" t="n">
        <v>129948</v>
      </c>
      <c r="G18" s="193" t="n">
        <v>1911</v>
      </c>
    </row>
  </sheetData>
  <mergeCells count="3">
    <mergeCell ref="A1:I1"/>
    <mergeCell ref="A4:H4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E44AD"/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13" min="1" max="1"/>
    <col width="28" customWidth="1" style="113" min="2" max="2"/>
    <col width="24" customWidth="1" style="113" min="3" max="3"/>
    <col width="12" customWidth="1" style="113" min="4" max="4"/>
    <col width="18" customWidth="1" style="113" min="5" max="5"/>
    <col width="16" customWidth="1" style="113" min="6" max="6"/>
    <col width="14" customWidth="1" style="113" min="7" max="7"/>
  </cols>
  <sheetData>
    <row r="1" ht="42" customHeight="1" s="114">
      <c r="A1" s="115" t="inlineStr">
        <is>
          <t>KC  KILACOMBS - INVENTORY &amp; FULFILLMENT</t>
        </is>
      </c>
    </row>
    <row r="2" ht="18" customHeight="1" s="114">
      <c r="A2" s="116" t="inlineStr">
        <is>
          <t>Live stock levels  |  Reserved stock  |  Recent shipments</t>
        </is>
      </c>
    </row>
    <row r="4" ht="25.5" customHeight="1" s="114">
      <c r="A4" s="134" t="inlineStr">
        <is>
          <t>CURRENT STOCK LEVELS</t>
        </is>
      </c>
    </row>
    <row r="5" ht="19.5" customHeight="1" s="114">
      <c r="A5" s="135" t="inlineStr">
        <is>
          <t>Variant</t>
        </is>
      </c>
      <c r="B5" s="135" t="inlineStr">
        <is>
          <t>SKU</t>
        </is>
      </c>
      <c r="C5" s="135" t="inlineStr">
        <is>
          <t>In Stock</t>
        </is>
      </c>
      <c r="D5" s="135" t="inlineStr">
        <is>
          <t>Reserved</t>
        </is>
      </c>
      <c r="E5" s="135" t="inlineStr">
        <is>
          <t>Available</t>
        </is>
      </c>
      <c r="F5" s="135" t="inlineStr">
        <is>
          <t>Reorder Point</t>
        </is>
      </c>
      <c r="G5" s="135" t="inlineStr">
        <is>
          <t>Status</t>
        </is>
      </c>
    </row>
    <row r="6" ht="18" customHeight="1" s="114">
      <c r="A6" s="141" t="inlineStr">
        <is>
          <t>🍯 Original Honey Blend</t>
        </is>
      </c>
      <c r="B6" s="158" t="inlineStr">
        <is>
          <t>KC-EP-OG</t>
        </is>
      </c>
      <c r="C6" s="143" t="n">
        <v>8500</v>
      </c>
      <c r="D6" s="239" t="n">
        <v>2000</v>
      </c>
      <c r="E6" s="240" t="n">
        <v>6500</v>
      </c>
      <c r="F6" s="239" t="n">
        <v>2000</v>
      </c>
      <c r="G6" s="184" t="inlineStr">
        <is>
          <t>OK</t>
        </is>
      </c>
    </row>
    <row r="7" ht="18" customHeight="1" s="114">
      <c r="A7" s="141" t="inlineStr">
        <is>
          <t>🫚 Ginger Boost</t>
        </is>
      </c>
      <c r="B7" s="158" t="inlineStr">
        <is>
          <t>KC-EP-GB</t>
        </is>
      </c>
      <c r="C7" s="143" t="n">
        <v>4200</v>
      </c>
      <c r="D7" s="239" t="n">
        <v>1000</v>
      </c>
      <c r="E7" s="240" t="n">
        <v>3200</v>
      </c>
      <c r="F7" s="239" t="n">
        <v>1500</v>
      </c>
      <c r="G7" s="184" t="inlineStr">
        <is>
          <t>OK</t>
        </is>
      </c>
    </row>
    <row r="8" ht="18" customHeight="1" s="114">
      <c r="A8" s="141" t="inlineStr">
        <is>
          <t>⚡ B-Vitamin Surge</t>
        </is>
      </c>
      <c r="B8" s="158" t="inlineStr">
        <is>
          <t>KC-EP-BV</t>
        </is>
      </c>
      <c r="C8" s="143" t="n">
        <v>1800</v>
      </c>
      <c r="D8" s="239" t="n">
        <v>500</v>
      </c>
      <c r="E8" s="240" t="n">
        <v>1300</v>
      </c>
      <c r="F8" s="239" t="n">
        <v>2000</v>
      </c>
      <c r="G8" s="181" t="inlineStr">
        <is>
          <t>LOW STOCK</t>
        </is>
      </c>
    </row>
    <row r="11" ht="25.5" customHeight="1" s="114">
      <c r="A11" s="134" t="inlineStr">
        <is>
          <t>RECENT SHIPMENTS</t>
        </is>
      </c>
    </row>
    <row r="12" ht="19.5" customHeight="1" s="114">
      <c r="A12" s="135" t="inlineStr">
        <is>
          <t>Order ID</t>
        </is>
      </c>
      <c r="B12" s="135" t="inlineStr">
        <is>
          <t>Business</t>
        </is>
      </c>
      <c r="C12" s="135" t="inlineStr">
        <is>
          <t>Variant</t>
        </is>
      </c>
      <c r="D12" s="135" t="inlineStr">
        <is>
          <t>Qty</t>
        </is>
      </c>
      <c r="E12" s="135" t="inlineStr">
        <is>
          <t>Ship Date</t>
        </is>
      </c>
      <c r="F12" s="135" t="inlineStr">
        <is>
          <t>Carrier</t>
        </is>
      </c>
      <c r="G12" s="135" t="inlineStr">
        <is>
          <t>Status</t>
        </is>
      </c>
    </row>
    <row r="13" ht="18" customHeight="1" s="114">
      <c r="A13" s="141" t="inlineStr">
        <is>
          <t>KC-WS-5LRIJ4NYSA3M</t>
        </is>
      </c>
      <c r="B13" s="166" t="inlineStr">
        <is>
          <t>Elite Combat Training</t>
        </is>
      </c>
      <c r="C13" s="168" t="inlineStr">
        <is>
          <t>🍯 Original Honey Blend</t>
        </is>
      </c>
      <c r="D13" s="143" t="n">
        <v>2000</v>
      </c>
      <c r="E13" s="158" t="inlineStr">
        <is>
          <t>2026-03-04 04:28</t>
        </is>
      </c>
      <c r="F13" s="158" t="inlineStr">
        <is>
          <t>FedEx</t>
        </is>
      </c>
      <c r="G13" s="187" t="inlineStr">
        <is>
          <t>Delivered</t>
        </is>
      </c>
    </row>
    <row r="14" ht="18" customHeight="1" s="114">
      <c r="A14" s="136" t="inlineStr">
        <is>
          <t>KC-WS-7R66RGCIQALR</t>
        </is>
      </c>
      <c r="B14" s="175" t="inlineStr">
        <is>
          <t>Champion Sports Academy</t>
        </is>
      </c>
      <c r="C14" s="176" t="inlineStr">
        <is>
          <t>⚡ B-Vitamin Surge</t>
        </is>
      </c>
      <c r="D14" s="138" t="n">
        <v>2000</v>
      </c>
      <c r="E14" s="161" t="inlineStr">
        <is>
          <t>2026-03-05 04:28</t>
        </is>
      </c>
      <c r="F14" s="161" t="inlineStr">
        <is>
          <t>UPS</t>
        </is>
      </c>
      <c r="G14" s="187" t="inlineStr">
        <is>
          <t>Delivered</t>
        </is>
      </c>
    </row>
    <row r="15" ht="18" customHeight="1" s="114">
      <c r="A15" s="141" t="inlineStr">
        <is>
          <t>KC-WS-NM2IV8F163PL</t>
        </is>
      </c>
      <c r="B15" s="166" t="inlineStr">
        <is>
          <t>Peak Performance Fitness</t>
        </is>
      </c>
      <c r="C15" s="168" t="inlineStr">
        <is>
          <t>🍯 Original Honey Blend</t>
        </is>
      </c>
      <c r="D15" s="143" t="n">
        <v>500</v>
      </c>
      <c r="E15" s="158" t="inlineStr">
        <is>
          <t>2026-02-24 04:28</t>
        </is>
      </c>
      <c r="F15" s="158" t="inlineStr">
        <is>
          <t>UPS Freight</t>
        </is>
      </c>
      <c r="G15" s="173" t="inlineStr">
        <is>
          <t>Shipped</t>
        </is>
      </c>
    </row>
    <row r="16" ht="18" customHeight="1" s="114">
      <c r="A16" s="136" t="inlineStr">
        <is>
          <t>KC-WS-F6FPJVVA8EAK</t>
        </is>
      </c>
      <c r="B16" s="175" t="inlineStr">
        <is>
          <t>Alpha Training Center</t>
        </is>
      </c>
      <c r="C16" s="176" t="inlineStr">
        <is>
          <t>⚡ B-Vitamin Surge</t>
        </is>
      </c>
      <c r="D16" s="138" t="n">
        <v>5000</v>
      </c>
      <c r="E16" s="161" t="inlineStr">
        <is>
          <t>2026-03-05 04:28</t>
        </is>
      </c>
      <c r="F16" s="161" t="inlineStr">
        <is>
          <t>FedEx</t>
        </is>
      </c>
      <c r="G16" s="187" t="inlineStr">
        <is>
          <t>Delivered</t>
        </is>
      </c>
    </row>
    <row r="17" ht="18" customHeight="1" s="114">
      <c r="A17" s="141" t="inlineStr">
        <is>
          <t>KC-WS-28NJIFY170PZ</t>
        </is>
      </c>
      <c r="B17" s="166" t="inlineStr">
        <is>
          <t>Lincoln High Athletics</t>
        </is>
      </c>
      <c r="C17" s="168" t="inlineStr">
        <is>
          <t>⚡ B-Vitamin Surge</t>
        </is>
      </c>
      <c r="D17" s="143" t="n">
        <v>1500</v>
      </c>
      <c r="E17" s="158" t="inlineStr">
        <is>
          <t>2026-02-28 04:28</t>
        </is>
      </c>
      <c r="F17" s="158" t="inlineStr">
        <is>
          <t>USPS Priority</t>
        </is>
      </c>
      <c r="G17" s="187" t="inlineStr">
        <is>
          <t>Delivered</t>
        </is>
      </c>
    </row>
    <row r="18" ht="18" customHeight="1" s="114">
      <c r="A18" s="136" t="inlineStr">
        <is>
          <t>KC-WS-RZDW6GR6GYGS</t>
        </is>
      </c>
      <c r="B18" s="175" t="inlineStr">
        <is>
          <t>FuelUp Nutrition</t>
        </is>
      </c>
      <c r="C18" s="176" t="inlineStr">
        <is>
          <t>⚡ B-Vitamin Surge</t>
        </is>
      </c>
      <c r="D18" s="138" t="n">
        <v>500</v>
      </c>
      <c r="E18" s="161" t="inlineStr">
        <is>
          <t>2026-02-27 04:28</t>
        </is>
      </c>
      <c r="F18" s="161" t="inlineStr">
        <is>
          <t>FedEx</t>
        </is>
      </c>
      <c r="G18" s="187" t="inlineStr">
        <is>
          <t>Delivered</t>
        </is>
      </c>
    </row>
    <row r="19" ht="18" customHeight="1" s="114">
      <c r="A19" s="141" t="inlineStr">
        <is>
          <t>KC-WS-MG2BBCGBKJ7J</t>
        </is>
      </c>
      <c r="B19" s="166" t="inlineStr">
        <is>
          <t>Force Fitness Center</t>
        </is>
      </c>
      <c r="C19" s="168" t="inlineStr">
        <is>
          <t>🍯 Original Honey Blend</t>
        </is>
      </c>
      <c r="D19" s="143" t="n">
        <v>1000</v>
      </c>
      <c r="E19" s="158" t="inlineStr">
        <is>
          <t>2026-03-01 04:28</t>
        </is>
      </c>
      <c r="F19" s="158" t="inlineStr">
        <is>
          <t>FedEx</t>
        </is>
      </c>
      <c r="G19" s="187" t="inlineStr">
        <is>
          <t>Delivered</t>
        </is>
      </c>
    </row>
    <row r="20" ht="18" customHeight="1" s="114">
      <c r="A20" s="136" t="inlineStr">
        <is>
          <t>KC-WS-0RUNUXLMETCB</t>
        </is>
      </c>
      <c r="B20" s="175" t="inlineStr">
        <is>
          <t>Warriors MMA</t>
        </is>
      </c>
      <c r="C20" s="176" t="inlineStr">
        <is>
          <t>🫚 Ginger Boost</t>
        </is>
      </c>
      <c r="D20" s="138" t="n">
        <v>500</v>
      </c>
      <c r="E20" s="161" t="inlineStr">
        <is>
          <t>2026-03-02 04:28</t>
        </is>
      </c>
      <c r="F20" s="161" t="inlineStr">
        <is>
          <t>UPS</t>
        </is>
      </c>
      <c r="G20" s="187" t="inlineStr">
        <is>
          <t>Delivered</t>
        </is>
      </c>
    </row>
    <row r="21" ht="18" customHeight="1" s="114">
      <c r="A21" s="141" t="inlineStr">
        <is>
          <t>KC-WS-W5G5XUA2HY9A</t>
        </is>
      </c>
      <c r="B21" s="166" t="inlineStr">
        <is>
          <t>Warrior Nutrition Co.</t>
        </is>
      </c>
      <c r="C21" s="168" t="inlineStr">
        <is>
          <t>⚡ B-Vitamin Surge</t>
        </is>
      </c>
      <c r="D21" s="143" t="n">
        <v>500</v>
      </c>
      <c r="E21" s="158" t="inlineStr">
        <is>
          <t>2026-03-01 04:28</t>
        </is>
      </c>
      <c r="F21" s="158" t="inlineStr">
        <is>
          <t>UPS Freight</t>
        </is>
      </c>
      <c r="G21" s="173" t="inlineStr">
        <is>
          <t>Shipped</t>
        </is>
      </c>
    </row>
    <row r="22" ht="18" customHeight="1" s="114">
      <c r="A22" s="136" t="inlineStr">
        <is>
          <t>KC-WS-WVZ8VU04TAVM</t>
        </is>
      </c>
      <c r="B22" s="175" t="inlineStr">
        <is>
          <t>NutriPro Supply</t>
        </is>
      </c>
      <c r="C22" s="176" t="inlineStr">
        <is>
          <t>⚡ B-Vitamin Surge</t>
        </is>
      </c>
      <c r="D22" s="138" t="n">
        <v>1000</v>
      </c>
      <c r="E22" s="161" t="inlineStr">
        <is>
          <t>2026-03-01 04:28</t>
        </is>
      </c>
      <c r="F22" s="161" t="inlineStr">
        <is>
          <t>FedEx</t>
        </is>
      </c>
      <c r="G22" s="187" t="inlineStr">
        <is>
          <t>Delivered</t>
        </is>
      </c>
    </row>
    <row r="23" ht="18" customHeight="1" s="114">
      <c r="A23" s="141" t="inlineStr">
        <is>
          <t>KC-WS-B6PWBWRPTNV3</t>
        </is>
      </c>
      <c r="B23" s="166" t="inlineStr">
        <is>
          <t>NutriPro Supply</t>
        </is>
      </c>
      <c r="C23" s="168" t="inlineStr">
        <is>
          <t>⚡ B-Vitamin Surge</t>
        </is>
      </c>
      <c r="D23" s="143" t="n">
        <v>500</v>
      </c>
      <c r="E23" s="158" t="inlineStr">
        <is>
          <t>2026-02-22 04:28</t>
        </is>
      </c>
      <c r="F23" s="158" t="inlineStr">
        <is>
          <t>USPS Priority</t>
        </is>
      </c>
      <c r="G23" s="173" t="inlineStr">
        <is>
          <t>Shipped</t>
        </is>
      </c>
    </row>
    <row r="24" ht="18" customHeight="1" s="114">
      <c r="A24" s="136" t="inlineStr">
        <is>
          <t>KC-WS-VV99J6E54KZ2</t>
        </is>
      </c>
      <c r="B24" s="175" t="inlineStr">
        <is>
          <t>Warriors MMA</t>
        </is>
      </c>
      <c r="C24" s="176" t="inlineStr">
        <is>
          <t>🫚 Ginger Boost</t>
        </is>
      </c>
      <c r="D24" s="138" t="n">
        <v>2000</v>
      </c>
      <c r="E24" s="161" t="inlineStr">
        <is>
          <t>2026-03-04 04:28</t>
        </is>
      </c>
      <c r="F24" s="161" t="inlineStr">
        <is>
          <t>FedEx</t>
        </is>
      </c>
      <c r="G24" s="173" t="inlineStr">
        <is>
          <t>Shipped</t>
        </is>
      </c>
    </row>
    <row r="25" ht="18" customHeight="1" s="114">
      <c r="A25" s="141" t="inlineStr">
        <is>
          <t>KC-WS-D8BRRC5ISBQ2</t>
        </is>
      </c>
      <c r="B25" s="166" t="inlineStr">
        <is>
          <t>Force Fitness Center</t>
        </is>
      </c>
      <c r="C25" s="168" t="inlineStr">
        <is>
          <t>🫚 Ginger Boost</t>
        </is>
      </c>
      <c r="D25" s="143" t="n">
        <v>1000</v>
      </c>
      <c r="E25" s="158" t="inlineStr">
        <is>
          <t>2026-03-03 04:28</t>
        </is>
      </c>
      <c r="F25" s="158" t="inlineStr">
        <is>
          <t>FedEx</t>
        </is>
      </c>
      <c r="G25" s="187" t="inlineStr">
        <is>
          <t>Delivered</t>
        </is>
      </c>
    </row>
    <row r="26" ht="18" customHeight="1" s="114">
      <c r="A26" s="136" t="inlineStr">
        <is>
          <t>KC-WS-ZF72UN4X8JSR</t>
        </is>
      </c>
      <c r="B26" s="175" t="inlineStr">
        <is>
          <t>Victory Martial Arts</t>
        </is>
      </c>
      <c r="C26" s="176" t="inlineStr">
        <is>
          <t>🫚 Ginger Boost</t>
        </is>
      </c>
      <c r="D26" s="138" t="n">
        <v>500</v>
      </c>
      <c r="E26" s="161" t="inlineStr">
        <is>
          <t>2026-02-24 04:28</t>
        </is>
      </c>
      <c r="F26" s="161" t="inlineStr">
        <is>
          <t>UPS</t>
        </is>
      </c>
      <c r="G26" s="173" t="inlineStr">
        <is>
          <t>Shipped</t>
        </is>
      </c>
    </row>
  </sheetData>
  <mergeCells count="4">
    <mergeCell ref="A1:H1"/>
    <mergeCell ref="A11:G11"/>
    <mergeCell ref="A2:H2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2026-03-06T04:28:44Z</dcterms:created>
  <dcterms:modified xmlns:dcterms="http://purl.org/dc/terms/" xmlns:xsi="http://www.w3.org/2001/XMLSchema-instance" xsi:type="dcterms:W3CDTF">2026-03-06T05:16:02Z</dcterms:modified>
  <cp:revision>0</cp:revision>
</cp:coreProperties>
</file>